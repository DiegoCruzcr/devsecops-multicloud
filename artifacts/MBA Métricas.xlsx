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" sheetId="1" r:id="rId5"/>
    <sheet state="visible" name="Reutilização" sheetId="2" r:id="rId6"/>
    <sheet state="visible" name="Provisionamento" sheetId="3" r:id="rId7"/>
    <sheet state="visible" name="Tempo execucao" sheetId="4" r:id="rId8"/>
  </sheets>
  <definedNames/>
  <calcPr/>
</workbook>
</file>

<file path=xl/sharedStrings.xml><?xml version="1.0" encoding="utf-8"?>
<sst xmlns="http://schemas.openxmlformats.org/spreadsheetml/2006/main" count="436" uniqueCount="250">
  <si>
    <t>Tempo de Provisionamento (minutos)</t>
  </si>
  <si>
    <t>Arquitetura</t>
  </si>
  <si>
    <t>Tempo de execução de pipeline(segundos)</t>
  </si>
  <si>
    <t>Aruitetura</t>
  </si>
  <si>
    <t>Categoria</t>
  </si>
  <si>
    <t>Quantidade</t>
  </si>
  <si>
    <t>AWS Lock-in</t>
  </si>
  <si>
    <t>Reutilizáveis</t>
  </si>
  <si>
    <t>AWS Agnostico</t>
  </si>
  <si>
    <t>Não Reutilizáveis</t>
  </si>
  <si>
    <t>Total</t>
  </si>
  <si>
    <t>Custo</t>
  </si>
  <si>
    <t>Cenário B Agnóstica</t>
  </si>
  <si>
    <t>Cenário A Lock-in</t>
  </si>
  <si>
    <t>Aspecto</t>
  </si>
  <si>
    <t>Arquitetura Lock-in</t>
  </si>
  <si>
    <t>Arquitetura Agnóstica</t>
  </si>
  <si>
    <t>Custo anual</t>
  </si>
  <si>
    <t>💲 Baixo (US$ 72)</t>
  </si>
  <si>
    <t>💲💲 Alto (US$ 1.278)</t>
  </si>
  <si>
    <t>Escalabilidade</t>
  </si>
  <si>
    <t>Automática</t>
  </si>
  <si>
    <t>Controlada manualmente</t>
  </si>
  <si>
    <t>Portabilidade</t>
  </si>
  <si>
    <t>🔒 Baixa (forte lock-in)</t>
  </si>
  <si>
    <t>🔓 Alta</t>
  </si>
  <si>
    <t>Complexidade operacional</t>
  </si>
  <si>
    <t>Mínima</t>
  </si>
  <si>
    <t>Elevada</t>
  </si>
  <si>
    <t>Negociação com fornecedores</t>
  </si>
  <si>
    <t>Limitada</t>
  </si>
  <si>
    <t>Flexível</t>
  </si>
  <si>
    <t>Categoria de Artefato</t>
  </si>
  <si>
    <t>Cenário A (Lock-in)</t>
  </si>
  <si>
    <t>Cenário B (Agnóstico)</t>
  </si>
  <si>
    <t>Código e Empacotamento</t>
  </si>
  <si>
    <t>app.py, Dockerfile</t>
  </si>
  <si>
    <t>Alta</t>
  </si>
  <si>
    <t>Infraestrutura (IaC)</t>
  </si>
  <si>
    <t>CloudFormation</t>
  </si>
  <si>
    <t>Terraform (Módulos)</t>
  </si>
  <si>
    <t>Média/Alta*</t>
  </si>
  <si>
    <t>Orquestração de CD</t>
  </si>
  <si>
    <t>CodeDeploy / ECS</t>
  </si>
  <si>
    <t>Kubernetes (Manifests)</t>
  </si>
  <si>
    <t>Esteira de CI</t>
  </si>
  <si>
    <t>AWS CodeBuild</t>
  </si>
  <si>
    <t>GitHub Actions</t>
  </si>
  <si>
    <t>Segurança</t>
  </si>
  <si>
    <t>AWS Inspector</t>
  </si>
  <si>
    <t>Trivy</t>
  </si>
  <si>
    <t>Scripts de Operação</t>
  </si>
  <si>
    <t>Scripts AWS CLI</t>
  </si>
  <si>
    <t>Scripts de Deploy K8s</t>
  </si>
  <si>
    <t>Cenário A Lock-in (AWS)</t>
  </si>
  <si>
    <t>Reaproveitável?</t>
  </si>
  <si>
    <t>Cenário B Agnóstico</t>
  </si>
  <si>
    <t>Reaproveitável? 2</t>
  </si>
  <si>
    <t>Esteira de CI/CD</t>
  </si>
  <si>
    <t>Não</t>
  </si>
  <si>
    <t>Sim</t>
  </si>
  <si>
    <t>Código da Aplicação</t>
  </si>
  <si>
    <t>app.py</t>
  </si>
  <si>
    <t>Empacotamento</t>
  </si>
  <si>
    <t>Dockerfile</t>
  </si>
  <si>
    <t>Terraform (11 arquivos)</t>
  </si>
  <si>
    <t>Parcial*</t>
  </si>
  <si>
    <t>Orquestração de Containers</t>
  </si>
  <si>
    <t>AWS ECS</t>
  </si>
  <si>
    <t>Kubernetes (Deployment, Service)</t>
  </si>
  <si>
    <t>Scripts de Deploy</t>
  </si>
  <si>
    <t>Scripts AWS (CLI/ECS)</t>
  </si>
  <si>
    <t>Scripts de Deploy Kubernetes</t>
  </si>
  <si>
    <t>DATA</t>
  </si>
  <si>
    <t>HORA INICIO</t>
  </si>
  <si>
    <t>HORA FIM</t>
  </si>
  <si>
    <t>Execucao</t>
  </si>
  <si>
    <t>Horario</t>
  </si>
  <si>
    <t>Periodo</t>
  </si>
  <si>
    <t>Regiao</t>
  </si>
  <si>
    <t>Tempo_Total_Min</t>
  </si>
  <si>
    <t>Tempo_Total_seg</t>
  </si>
  <si>
    <t>Amostras (n)</t>
  </si>
  <si>
    <t>Média de tempo</t>
  </si>
  <si>
    <t>Desvio Padrão</t>
  </si>
  <si>
    <t>Coeficiente de variação (%)</t>
  </si>
  <si>
    <t>Interpretação</t>
  </si>
  <si>
    <t>2026-01-21 08:07:33 UTC-0300</t>
  </si>
  <si>
    <t>2026-01-21 08:09:09 UTC-0300</t>
  </si>
  <si>
    <t>Manhã</t>
  </si>
  <si>
    <t>us-east-1a</t>
  </si>
  <si>
    <t>1m 36s</t>
  </si>
  <si>
    <t>2026-01-21 12:16:00 UTC-0300</t>
  </si>
  <si>
    <t>2026-01-21 12:26:32 UTC-0300</t>
  </si>
  <si>
    <t>Tarde</t>
  </si>
  <si>
    <t>10m32.596s</t>
  </si>
  <si>
    <t>Mais rápido</t>
  </si>
  <si>
    <t>2026-01-16 09:23:30 UTC-0300</t>
  </si>
  <si>
    <t>2026-01-16 09:25:09 UTC-0300</t>
  </si>
  <si>
    <t>1m 39s</t>
  </si>
  <si>
    <t>2026-01-20 10:30:00 UTC-0300</t>
  </si>
  <si>
    <t>2026-01-16 10:45:39 UTC-0300</t>
  </si>
  <si>
    <t>15m39.380s</t>
  </si>
  <si>
    <t>Cenário B (Agnóstica)</t>
  </si>
  <si>
    <t>11m 23s</t>
  </si>
  <si>
    <t>Mais lento</t>
  </si>
  <si>
    <t>2026-01-16 10:00:29 UTC-0300</t>
  </si>
  <si>
    <t>2026-01-16 10:02:08 UTC-0300</t>
  </si>
  <si>
    <t>2026-01-20 12:32:00 UTC-0300</t>
  </si>
  <si>
    <t>2026-01-16 12:41:00 UTC-0300</t>
  </si>
  <si>
    <t>9m52.143s</t>
  </si>
  <si>
    <t>2026-01-16 11:00:20 UTC-0300</t>
  </si>
  <si>
    <t>2026-01-16 11:02:26 UTC-0300</t>
  </si>
  <si>
    <t>2m 06s</t>
  </si>
  <si>
    <t>2026-01-20 14:27:00 UTC-0300</t>
  </si>
  <si>
    <t>2026-01-16 14:36:00 UTC-0300</t>
  </si>
  <si>
    <t xml:space="preserve"> 9m40.696s</t>
  </si>
  <si>
    <t>2026-01-16 13:00:14 UTC-0300</t>
  </si>
  <si>
    <t>2026-01-16 13:01:50 UTC-0300</t>
  </si>
  <si>
    <t>2026-01-20 15:00:00 UTC-0300</t>
  </si>
  <si>
    <t>2026-01-20 15:11:25 UTC-0300</t>
  </si>
  <si>
    <t>11m25.572s</t>
  </si>
  <si>
    <t>2026-01-16 13:49:02 UTC-0300</t>
  </si>
  <si>
    <t>2026-01-16 13:50:38 UTC-0300</t>
  </si>
  <si>
    <t>2026-01-20 15:58:00 UTC-0300</t>
  </si>
  <si>
    <t>2026-01-20 16:09:00 UTC-0300</t>
  </si>
  <si>
    <t>11m44.756s</t>
  </si>
  <si>
    <t>2026-01-16 15:00:29 UTC-0300</t>
  </si>
  <si>
    <t>2026-01-16 15:02:30 UTC-0300</t>
  </si>
  <si>
    <t>2m 01s</t>
  </si>
  <si>
    <t>2026-01-21 07:42:00 UTC-0300</t>
  </si>
  <si>
    <t>2026-01-21 07:53:00 UTC-0300</t>
  </si>
  <si>
    <t>11m23.951s</t>
  </si>
  <si>
    <t>2026-01-16 16:19:05 UTC-0300</t>
  </si>
  <si>
    <t>2026-01-16 16:20:42 UTC-0300</t>
  </si>
  <si>
    <t>1m 37s</t>
  </si>
  <si>
    <t>2026-01-16 16:35:42 UTC-0300</t>
  </si>
  <si>
    <t>2026-01-16 16:37:19 UTC-0300</t>
  </si>
  <si>
    <t>2026-01-16 17:28:10 UTC-0300</t>
  </si>
  <si>
    <t>2026-01-16 17:30:17 UTC-0300</t>
  </si>
  <si>
    <t>2m 07s</t>
  </si>
  <si>
    <t>2026-01-16 17:40:28 UTC-0300</t>
  </si>
  <si>
    <t>2026-01-16 17:42:04 UTC-0300</t>
  </si>
  <si>
    <t>2026-01-16 17:48:23 UTC-0300</t>
  </si>
  <si>
    <t>2026-01-16 17:49:59 UTC-0300</t>
  </si>
  <si>
    <t>2026-01-16 18:01:06 UTC-0300</t>
  </si>
  <si>
    <t>2026-01-16 18:02:43 UTC-0300</t>
  </si>
  <si>
    <t>Noite</t>
  </si>
  <si>
    <t>2026-01-16 18:38:25 UTC-0300</t>
  </si>
  <si>
    <t>2026-01-16 18:40:25 UTC-0300</t>
  </si>
  <si>
    <t>2m 00s</t>
  </si>
  <si>
    <t>2026-01-16 18:56:37 UTC-0300</t>
  </si>
  <si>
    <t>2026-01-16 18:58:13 UTC-0300</t>
  </si>
  <si>
    <t>2026-01-20 08:29:12 UTC-0300</t>
  </si>
  <si>
    <t>2026-01-20 08:30:48 UTC-0300</t>
  </si>
  <si>
    <t>2026-01-20 08:36:40 UTC-0300</t>
  </si>
  <si>
    <t>2026-01-20 08:38:39 UTC-0300</t>
  </si>
  <si>
    <t>1m 59s</t>
  </si>
  <si>
    <t>2026-01-20 09:42:18 UTC-0300</t>
  </si>
  <si>
    <t>2026-01-20 09:44:24 UTC-0300</t>
  </si>
  <si>
    <t>Média</t>
  </si>
  <si>
    <t>≈ 1m 36s</t>
  </si>
  <si>
    <t>≈ 11m 23s</t>
  </si>
  <si>
    <t>Desvio Padrão amostral</t>
  </si>
  <si>
    <t>≈ 13s</t>
  </si>
  <si>
    <t>≈ 2m 01s</t>
  </si>
  <si>
    <t>Tempo_Total_min</t>
  </si>
  <si>
    <t>Jan 21, 2026 8:43 AM (UTC-3:00)</t>
  </si>
  <si>
    <t>Jan 21, 2026 8:48 AM (UTC-3:00)</t>
  </si>
  <si>
    <t>5 minutes 14 seconds</t>
  </si>
  <si>
    <t>Jan 21, 2026 1:30 PM (UTC-3:00)</t>
  </si>
  <si>
    <t>Jan 21, 2026 1:32 PM (UTC-3:00)</t>
  </si>
  <si>
    <t>2m 26s</t>
  </si>
  <si>
    <t>5m 31s</t>
  </si>
  <si>
    <t>Mais lento porém estável</t>
  </si>
  <si>
    <t>Jan 21, 2026 8:51 AM (UTC-3:00)</t>
  </si>
  <si>
    <t>Jan 21, 2026 8:56 AM (UTC-3:00)</t>
  </si>
  <si>
    <t>5 minutes 30 seconds</t>
  </si>
  <si>
    <t>Jan 21, 2026 1:36 PM (UTC-3:00)</t>
  </si>
  <si>
    <t>Jan 21, 2026 1:37 PM (UTC-3:00)</t>
  </si>
  <si>
    <t>1m 18s</t>
  </si>
  <si>
    <t>1m 33s</t>
  </si>
  <si>
    <t>Rápido porém instável</t>
  </si>
  <si>
    <t>Jan 21, 2026 9:00 AM (UTC-3:00)</t>
  </si>
  <si>
    <t>Jan 21, 2026 9:07 AM (UTC-3:00)</t>
  </si>
  <si>
    <t>6 minutes 44 seconds</t>
  </si>
  <si>
    <t>Jan 21, 2026 2:08 PM (UTC-3:00)</t>
  </si>
  <si>
    <t>Jan 21, 2026 2:09 PM (UTC-3:00)</t>
  </si>
  <si>
    <t>1m 25s</t>
  </si>
  <si>
    <t>Jan 21, 2026 9:11 AM (UTC-3:00)</t>
  </si>
  <si>
    <t>Jan 21, 2026 9:16 AM (UTC-3:00)</t>
  </si>
  <si>
    <t>5 minutes 42 seconds</t>
  </si>
  <si>
    <t>Jan 21, 2026 2:16 PM (UTC-3:00)</t>
  </si>
  <si>
    <t>Jan 21, 2026 2:17 PM (UTC-3:00)</t>
  </si>
  <si>
    <t>1m 22s</t>
  </si>
  <si>
    <t>Jan 21, 2026 9:25 AM (UTC-3:00)</t>
  </si>
  <si>
    <t>Jan 21, 2026 9:31 AM (UTC-3:00)</t>
  </si>
  <si>
    <t>5 minutes 33 seconds</t>
  </si>
  <si>
    <t>Jan 21, 2026 2:38 PM (UTC-3:00)</t>
  </si>
  <si>
    <t>Jan 21, 2026 2:40 PM (UTC-3:00)</t>
  </si>
  <si>
    <t>1m 47s</t>
  </si>
  <si>
    <t>Jan 21, 2026 9:38 AM (UTC-3:00)</t>
  </si>
  <si>
    <t>Jan 21, 2026 9:43 AM (UTC-3:00)</t>
  </si>
  <si>
    <t>4 minutes 58 seconds</t>
  </si>
  <si>
    <t>Jan 21, 2026 2:55 PM (UTC-3:00)</t>
  </si>
  <si>
    <t>Jan 21, 2026 2:56 PM (UTC-3:00)</t>
  </si>
  <si>
    <t xml:space="preserve"> 1m 26s</t>
  </si>
  <si>
    <t>Jan 21, 2026 10:02 AM (UTC-3:00)</t>
  </si>
  <si>
    <t>Jan 21, 2026 10:07 AM (UTC-3:00)</t>
  </si>
  <si>
    <t>5 minutes 15 seconds</t>
  </si>
  <si>
    <t>Jan 21, 2026 2:58 PM (UTC-3:00)</t>
  </si>
  <si>
    <t>Jan 21, 2026 2:59 PM (UTC-3:00)</t>
  </si>
  <si>
    <t>1m 32s</t>
  </si>
  <si>
    <t>Jan 21, 2026 10:27 AM (UTC-3:00)</t>
  </si>
  <si>
    <t>Jan 21, 2026 10:33 AM (UTC-3:00)</t>
  </si>
  <si>
    <t>5 minutes 31 seconds</t>
  </si>
  <si>
    <t>Jan 21, 2026 3:08 PM (UTC-3:00)</t>
  </si>
  <si>
    <t>Jan 21, 2026 3:09 PM (UTC-3:00)</t>
  </si>
  <si>
    <t>Jan 21, 2026 10:39 AM (UTC-3:00)</t>
  </si>
  <si>
    <t>Jan 21, 2026 10:44 AM (UTC-3:00)</t>
  </si>
  <si>
    <t>Jan 21, 2026 3:17 PM (UTC-3:00)</t>
  </si>
  <si>
    <t>Jan 21, 2026 3:19 PM (UTC-3:00)</t>
  </si>
  <si>
    <t>2m 41s</t>
  </si>
  <si>
    <t>Jan 21, 2026 10:57 AM (UTC-3:00)</t>
  </si>
  <si>
    <t>Jan 21, 2026 11:02 AM (UTC-3:00)</t>
  </si>
  <si>
    <t>4 minutes 55 seconds</t>
  </si>
  <si>
    <t>Jan 21, 2026 3:31PM (UTC-3:00)</t>
  </si>
  <si>
    <t>Jan 21, 2026 3:33 PM (UTC-3:00)</t>
  </si>
  <si>
    <t>2m 31s</t>
  </si>
  <si>
    <t>Jan 21, 2026 11:14 AM (UTC-3:00)</t>
  </si>
  <si>
    <t>Jan 21, 2026 11:19 AM (UTC-3:00)</t>
  </si>
  <si>
    <t>4 minutes 57 seconds</t>
  </si>
  <si>
    <t>Jan 21, 2026 3:39 PM (UTC-3:00)</t>
  </si>
  <si>
    <t>Jan 21, 2026 3:40 PM (UTC-3:00)</t>
  </si>
  <si>
    <t>Jan 21, 2026 11:23 AM (UTC-3:00)</t>
  </si>
  <si>
    <t>Jan 21, 2026 11:28 AM (UTC-3:00)</t>
  </si>
  <si>
    <t>5 minutes 45 seconds</t>
  </si>
  <si>
    <t>Jan 21, 2026 3:54 PM (UTC-3:00)</t>
  </si>
  <si>
    <t>Jan 21, 2026 3:55 PM (UTC-3:00)</t>
  </si>
  <si>
    <t>1m 23s</t>
  </si>
  <si>
    <t>Jan 21, 2026 11:43 AM (UTC-3:00)</t>
  </si>
  <si>
    <t>Jan 21, 2026 11:49 AM (UTC-3:00)</t>
  </si>
  <si>
    <t>6 minutes 21 seconds</t>
  </si>
  <si>
    <t>Jan 21, 2026 16:08 PM (UTC-3:00)</t>
  </si>
  <si>
    <t>Jan 21, 2026 16:11 PM (UTC-3:00)</t>
  </si>
  <si>
    <t>3m 37s</t>
  </si>
  <si>
    <t>≈ 5m 31s</t>
  </si>
  <si>
    <t>≈ 1m 33s</t>
  </si>
  <si>
    <t>≈ 32s</t>
  </si>
  <si>
    <t>≈ 40s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</si>
</sst>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&quot;:&quot;ss"/>
    <numFmt numFmtId="165" formatCode="[$$]#,##0.00"/>
    <numFmt numFmtId="166" formatCode="dd/MM/yyyy HH:mm:ss"/>
    <numFmt numFmtId="167" formatCode="dd/m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sz val="11.0"/>
      <color theme="1"/>
      <name val="Calibri"/>
    </font>
    <font>
      <b/>
      <sz val="12.0"/>
      <color theme="1"/>
      <name val="Arial"/>
      <scheme val="minor"/>
    </font>
    <font>
      <sz val="14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left" readingOrder="0" shrinkToFit="0" vertical="center" wrapText="0"/>
    </xf>
    <xf borderId="0" fillId="4" fontId="3" numFmtId="0" xfId="0" applyAlignment="1" applyFill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6" numFmtId="166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1" numFmtId="166" xfId="0" applyFont="1" applyNumberFormat="1"/>
    <xf borderId="0" fillId="3" fontId="7" numFmtId="0" xfId="0" applyAlignment="1" applyFont="1">
      <alignment readingOrder="0"/>
    </xf>
    <xf borderId="0" fillId="3" fontId="8" numFmtId="0" xfId="0" applyFont="1"/>
    <xf borderId="0" fillId="3" fontId="8" numFmtId="0" xfId="0" applyAlignment="1" applyFont="1">
      <alignment readingOrder="0"/>
    </xf>
    <xf borderId="0" fillId="3" fontId="8" numFmtId="3" xfId="0" applyFont="1" applyNumberFormat="1"/>
    <xf borderId="0" fillId="5" fontId="7" numFmtId="0" xfId="0" applyAlignment="1" applyFill="1" applyFont="1">
      <alignment readingOrder="0"/>
    </xf>
    <xf borderId="0" fillId="5" fontId="8" numFmtId="0" xfId="0" applyFont="1"/>
    <xf borderId="0" fillId="5" fontId="8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4"/>
          <bgColor theme="4"/>
        </patternFill>
      </fill>
      <border/>
    </dxf>
  </dxfs>
  <tableStyles count="14">
    <tableStyle count="4" pivot="0" name="Result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ado-style 6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utilizaçã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utilizaçã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visionam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visionamen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visionamen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o execuca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o execuca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o execucao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Tempo de Provisionamento (minutos)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Resultado!$A$1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 b="1" i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Resultado!$B$2:$B$3</c:f>
            </c:strRef>
          </c:cat>
          <c:val>
            <c:numRef>
              <c:f>Resultado!$A$2:$A$3</c:f>
              <c:numCache/>
            </c:numRef>
          </c:val>
        </c:ser>
        <c:axId val="1393687695"/>
        <c:axId val="1795675617"/>
      </c:bar3DChart>
      <c:catAx>
        <c:axId val="139368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1">
                    <a:solidFill>
                      <a:srgbClr val="000000"/>
                    </a:solidFill>
                    <a:latin typeface="+mn-lt"/>
                  </a:rPr>
                  <a:t>Arquitetura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1795675617"/>
      </c:catAx>
      <c:valAx>
        <c:axId val="1795675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Provisionamento (minutos)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6876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Tempo de execução de pipeline(segundos)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Resultado!$F$1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Resultado!$G$2:$G$3</c:f>
            </c:strRef>
          </c:cat>
          <c:val>
            <c:numRef>
              <c:f>Resultado!$F$2:$F$3</c:f>
              <c:numCache/>
            </c:numRef>
          </c:val>
        </c:ser>
        <c:axId val="2096880069"/>
        <c:axId val="856482330"/>
      </c:bar3DChart>
      <c:catAx>
        <c:axId val="20968800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Arquitetura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6482330"/>
      </c:catAx>
      <c:valAx>
        <c:axId val="856482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de pipeline(segundos)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8800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artefatos reutilizavéis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Resultado!$M$1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Resultado!$L$2:$L$3</c:f>
            </c:strRef>
          </c:cat>
          <c:val>
            <c:numRef>
              <c:f>Resultado!$M$2:$M$3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Quantidade de artefatos reutilizavéis Lock-in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Resultado!$T$1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Resultado!$S$2:$S$3</c:f>
            </c:strRef>
          </c:cat>
          <c:val>
            <c:numRef>
              <c:f>Resultado!$T$2:$T$3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Resultado!$B$26</c:f>
            </c:strRef>
          </c:tx>
          <c:dPt>
            <c:idx val="0"/>
            <c:spPr>
              <a:solidFill>
                <a:srgbClr val="CC0000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Resultado!$A$27:$A$28</c:f>
            </c:strRef>
          </c:cat>
          <c:val>
            <c:numRef>
              <c:f>Resultado!$B$27:$B$28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Custo versus Arquitetura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Resultado!$B$26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Resultado!$A$27:$A$28</c:f>
            </c:strRef>
          </c:cat>
          <c:val>
            <c:numRef>
              <c:f>Resultado!$B$27:$B$28</c:f>
              <c:numCache/>
            </c:numRef>
          </c:val>
        </c:ser>
        <c:axId val="1257624689"/>
        <c:axId val="633644859"/>
      </c:barChart>
      <c:catAx>
        <c:axId val="125762468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1">
                    <a:solidFill>
                      <a:srgbClr val="000000"/>
                    </a:solidFill>
                    <a:latin typeface="+mn-lt"/>
                  </a:rPr>
                  <a:t>Arquitetura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3644859"/>
      </c:catAx>
      <c:valAx>
        <c:axId val="6336448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1">
                    <a:solidFill>
                      <a:srgbClr val="000000"/>
                    </a:solidFill>
                    <a:latin typeface="+mn-lt"/>
                  </a:rPr>
                  <a:t>Custo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762468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4</xdr:row>
      <xdr:rowOff>190500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942975</xdr:colOff>
      <xdr:row>4</xdr:row>
      <xdr:rowOff>190500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17</xdr:col>
      <xdr:colOff>933450</xdr:colOff>
      <xdr:row>4</xdr:row>
      <xdr:rowOff>190500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29</xdr:row>
      <xdr:rowOff>142875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</xdr:col>
      <xdr:colOff>942975</xdr:colOff>
      <xdr:row>38</xdr:row>
      <xdr:rowOff>95250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3" displayName="Provisionamento" name="Provisionamento" id="1">
  <tableColumns count="2">
    <tableColumn name="Tempo de Provisionamento (minutos)" id="1"/>
    <tableColumn name="Arquitetura" id="2"/>
  </tableColumns>
  <tableStyleInfo name="Resultado-style" showColumnStripes="0" showFirstColumn="1" showLastColumn="1" showRowStripes="1"/>
</table>
</file>

<file path=xl/tables/table2.xml><?xml version="1.0" encoding="utf-8"?>
<table xmlns="http://schemas.openxmlformats.org/spreadsheetml/2006/main" ref="F1:G3" displayName="Execução_Pipeline" name="Execução_Pipeline" id="2">
  <tableColumns count="2">
    <tableColumn name="Tempo de execução de pipeline(segundos)" id="1"/>
    <tableColumn name="Aruitetura" id="2"/>
  </tableColumns>
  <tableStyleInfo name="Resultado-style 2" showColumnStripes="0" showFirstColumn="1" showLastColumn="1" showRowStripes="1"/>
</table>
</file>

<file path=xl/tables/table3.xml><?xml version="1.0" encoding="utf-8"?>
<table xmlns="http://schemas.openxmlformats.org/spreadsheetml/2006/main" ref="L1:M4" displayName="Reutilizaveis_Agnostico" name="Reutilizaveis_Agnostico" id="3">
  <tableColumns count="2">
    <tableColumn name="Categoria" id="1"/>
    <tableColumn name="Quantidade" id="2"/>
  </tableColumns>
  <tableStyleInfo name="Resultado-style 3" showColumnStripes="0" showFirstColumn="1" showLastColumn="1" showRowStripes="1"/>
</table>
</file>

<file path=xl/tables/table4.xml><?xml version="1.0" encoding="utf-8"?>
<table xmlns="http://schemas.openxmlformats.org/spreadsheetml/2006/main" ref="S1:T4" displayName="Reutilizaveis_Lockin" name="Reutilizaveis_Lockin" id="4">
  <tableColumns count="2">
    <tableColumn name="Categoria" id="1"/>
    <tableColumn name="Quantidade" id="2"/>
  </tableColumns>
  <tableStyleInfo name="Resultado-style 4" showColumnStripes="0" showFirstColumn="1" showLastColumn="1" showRowStripes="1"/>
</table>
</file>

<file path=xl/tables/table5.xml><?xml version="1.0" encoding="utf-8"?>
<table xmlns="http://schemas.openxmlformats.org/spreadsheetml/2006/main" ref="A26:B28" displayName="Comparativo_de_custos" name="Comparativo_de_custos" id="5">
  <tableColumns count="2">
    <tableColumn name="Arquitetura" id="1"/>
    <tableColumn name="Custo" id="2"/>
  </tableColumns>
  <tableStyleInfo name="Resultado-style 5" showColumnStripes="0" showFirstColumn="1" showLastColumn="1" showRowStripes="1"/>
</table>
</file>

<file path=xl/tables/table6.xml><?xml version="1.0" encoding="utf-8"?>
<table xmlns="http://schemas.openxmlformats.org/spreadsheetml/2006/main" ref="F31:H36" displayName="Analise_entre_arquiteturas" name="Analise_entre_arquiteturas" id="6">
  <tableColumns count="3">
    <tableColumn name="Aspecto" id="1"/>
    <tableColumn name="Arquitetura Lock-in" id="2"/>
    <tableColumn name="Arquitetura Agnóstica" id="3"/>
  </tableColumns>
  <tableStyleInfo name="Resultado-style 6" showColumnStripes="0" showFirstColumn="1" showLastColumn="1" showRowStripes="1"/>
</table>
</file>

<file path=xl/tables/table7.xml><?xml version="1.0" encoding="utf-8"?>
<table xmlns="http://schemas.openxmlformats.org/spreadsheetml/2006/main" ref="A1:D7" displayName="Comparativo_poArt" name="Comparativo_poArt" id="7">
  <tableColumns count="4">
    <tableColumn name="Categoria de Artefato" id="1"/>
    <tableColumn name="Cenário A (Lock-in)" id="2"/>
    <tableColumn name="Cenário B (Agnóstico)" id="3"/>
    <tableColumn name="Portabilidade" id="4"/>
  </tableColumns>
  <tableStyleInfo name="Reutilização-style" showColumnStripes="0" showFirstColumn="1" showLastColumn="1" showRowStripes="1"/>
</table>
</file>

<file path=xl/tables/table8.xml><?xml version="1.0" encoding="utf-8"?>
<table xmlns="http://schemas.openxmlformats.org/spreadsheetml/2006/main" ref="A10:E17" displayName="Comparativo_port" name="Comparativo_port" id="8">
  <tableColumns count="5">
    <tableColumn name="Categoria de Artefato" id="1"/>
    <tableColumn name="Cenário A Lock-in (AWS)" id="2"/>
    <tableColumn name="Reaproveitável?" id="3"/>
    <tableColumn name="Cenário B Agnóstico" id="4"/>
    <tableColumn name="Reaproveitável? 2" id="5"/>
  </tableColumns>
  <tableStyleInfo name="Reutilização-style 2" showColumnStripes="0" showFirstColumn="1" showLastColumn="1" showRowStripes="1"/>
</table>
</file>

<file path=xl/tables/table9.xml><?xml version="1.0" encoding="utf-8"?>
<table xmlns="http://schemas.openxmlformats.org/spreadsheetml/2006/main" ref="A1:I19" displayName="Lockin" name="Lockin" id="9">
  <tableColumns count="9">
    <tableColumn name="DATA" id="1"/>
    <tableColumn name="HORA INICIO" id="2"/>
    <tableColumn name="HORA FIM" id="3"/>
    <tableColumn name="Execucao" id="4"/>
    <tableColumn name="Horario" id="5"/>
    <tableColumn name="Periodo" id="6"/>
    <tableColumn name="Regiao" id="7"/>
    <tableColumn name="Tempo_Total_Min" id="8"/>
    <tableColumn name="Tempo_Total_seg" id="9"/>
  </tableColumns>
  <tableStyleInfo name="Provisionamento-style" showColumnStripes="0" showFirstColumn="1" showLastColumn="1" showRowStripes="1"/>
</table>
</file>

<file path=xl/tables/table10.xml><?xml version="1.0" encoding="utf-8"?>
<table xmlns="http://schemas.openxmlformats.org/spreadsheetml/2006/main" ref="K1:R19" displayName="Agnostic" name="Agnostic" id="10">
  <tableColumns count="8">
    <tableColumn name="DATA" id="1"/>
    <tableColumn name="HORA INICIO" id="2"/>
    <tableColumn name="HORA FIM" id="3"/>
    <tableColumn name="Execucao" id="4"/>
    <tableColumn name="Periodo" id="5"/>
    <tableColumn name="Regiao" id="6"/>
    <tableColumn name="Tempo_Total_Min" id="7"/>
    <tableColumn name="Tempo_Total_seg" id="8"/>
  </tableColumns>
  <tableStyleInfo name="Provisionamento-style 2" showColumnStripes="0" showFirstColumn="1" showLastColumn="1" showRowStripes="1"/>
</table>
</file>

<file path=xl/tables/table11.xml><?xml version="1.0" encoding="utf-8"?>
<table xmlns="http://schemas.openxmlformats.org/spreadsheetml/2006/main" ref="T1:Y3" displayName="Comparativo_Prov" name="Comparativo_Prov" id="11">
  <tableColumns count="6">
    <tableColumn name="Arquitetura" id="1"/>
    <tableColumn name="Amostras (n)" id="2"/>
    <tableColumn name="Média de tempo" id="3"/>
    <tableColumn name="Desvio Padrão" id="4"/>
    <tableColumn name="Coeficiente de variação (%)" id="5"/>
    <tableColumn name="Interpretação" id="6"/>
  </tableColumns>
  <tableStyleInfo name="Provisionamento-style 3" showColumnStripes="0" showFirstColumn="1" showLastColumn="1" showRowStripes="1"/>
</table>
</file>

<file path=xl/tables/table12.xml><?xml version="1.0" encoding="utf-8"?>
<table xmlns="http://schemas.openxmlformats.org/spreadsheetml/2006/main" ref="A1:H14" displayName="Lockin_pipeline" name="Lockin_pipeline" id="12">
  <tableColumns count="8">
    <tableColumn name="DATA" id="1"/>
    <tableColumn name="HORA INICIO" id="2"/>
    <tableColumn name="HORA FIM" id="3"/>
    <tableColumn name="Execucao" id="4"/>
    <tableColumn name="Periodo" id="5"/>
    <tableColumn name="Regiao" id="6"/>
    <tableColumn name="Tempo_Total_min" id="7"/>
    <tableColumn name="Tempo_Total_seg" id="8"/>
  </tableColumns>
  <tableStyleInfo name="Tempo execucao-style" showColumnStripes="0" showFirstColumn="1" showLastColumn="1" showRowStripes="1"/>
</table>
</file>

<file path=xl/tables/table13.xml><?xml version="1.0" encoding="utf-8"?>
<table xmlns="http://schemas.openxmlformats.org/spreadsheetml/2006/main" ref="J1:Q14" displayName="agnostic_pipeline" name="agnostic_pipeline" id="13">
  <tableColumns count="8">
    <tableColumn name="DATA" id="1"/>
    <tableColumn name="HORA INICIO" id="2"/>
    <tableColumn name="HORA FIM" id="3"/>
    <tableColumn name="Execucao" id="4"/>
    <tableColumn name="Periodo" id="5"/>
    <tableColumn name="Regiao" id="6"/>
    <tableColumn name="Tempo_Total_min" id="7"/>
    <tableColumn name="Tempo_Total_seg" id="8"/>
  </tableColumns>
  <tableStyleInfo name="Tempo execucao-style 2" showColumnStripes="0" showFirstColumn="1" showLastColumn="1" showRowStripes="1"/>
</table>
</file>

<file path=xl/tables/table14.xml><?xml version="1.0" encoding="utf-8"?>
<table xmlns="http://schemas.openxmlformats.org/spreadsheetml/2006/main" ref="T1:Y3" displayName="Comparativo_pipeline" name="Comparativo_pipeline" id="14">
  <tableColumns count="6">
    <tableColumn name="Arquitetura" id="1"/>
    <tableColumn name="Amostras (n)" id="2"/>
    <tableColumn name="Média de tempo" id="3"/>
    <tableColumn name="Desvio Padrão" id="4"/>
    <tableColumn name="Coeficiente de variação (%)" id="5"/>
    <tableColumn name="Interpretação" id="6"/>
  </tableColumns>
  <tableStyleInfo name="Tempo execuca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pp.py" TargetMode="External"/><Relationship Id="rId2" Type="http://schemas.openxmlformats.org/officeDocument/2006/relationships/hyperlink" Target="http://app.py" TargetMode="External"/><Relationship Id="rId3" Type="http://schemas.openxmlformats.org/officeDocument/2006/relationships/drawing" Target="../drawings/drawing2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9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6.75"/>
    <col customWidth="1" min="2" max="2" width="13.75"/>
    <col customWidth="1" min="6" max="6" width="37.25"/>
    <col customWidth="1" min="7" max="7" width="20.0"/>
    <col customWidth="1" min="8" max="8" width="22.0"/>
    <col customWidth="1" min="12" max="12" width="15.0"/>
    <col customWidth="1" min="13" max="13" width="14.0"/>
    <col customWidth="1" min="19" max="19" width="15.0"/>
    <col customWidth="1" min="20" max="20" width="14.0"/>
  </cols>
  <sheetData>
    <row r="1" ht="22.5" customHeight="1">
      <c r="A1" s="1" t="s">
        <v>0</v>
      </c>
      <c r="B1" s="1" t="s">
        <v>1</v>
      </c>
      <c r="F1" s="1" t="s">
        <v>2</v>
      </c>
      <c r="G1" s="1" t="s">
        <v>3</v>
      </c>
      <c r="L1" s="1" t="s">
        <v>4</v>
      </c>
      <c r="M1" s="1" t="s">
        <v>5</v>
      </c>
      <c r="S1" s="1" t="s">
        <v>4</v>
      </c>
      <c r="T1" s="1" t="s">
        <v>5</v>
      </c>
    </row>
    <row r="2" ht="22.5" customHeight="1">
      <c r="A2" s="2">
        <v>0.003125</v>
      </c>
      <c r="B2" s="3" t="s">
        <v>6</v>
      </c>
      <c r="F2" s="3">
        <v>1.0</v>
      </c>
      <c r="G2" s="3" t="s">
        <v>6</v>
      </c>
      <c r="L2" s="3" t="s">
        <v>7</v>
      </c>
      <c r="M2" s="3">
        <v>10.0</v>
      </c>
      <c r="S2" s="3" t="s">
        <v>7</v>
      </c>
      <c r="T2" s="3">
        <v>3.0</v>
      </c>
    </row>
    <row r="3" ht="22.5" customHeight="1">
      <c r="A3" s="2">
        <v>0.029166666666666667</v>
      </c>
      <c r="B3" s="3" t="s">
        <v>8</v>
      </c>
      <c r="F3" s="3">
        <v>56.0</v>
      </c>
      <c r="G3" s="3" t="s">
        <v>8</v>
      </c>
      <c r="L3" s="3" t="s">
        <v>9</v>
      </c>
      <c r="M3" s="3">
        <v>11.0</v>
      </c>
      <c r="S3" s="3" t="s">
        <v>9</v>
      </c>
      <c r="T3" s="3">
        <v>4.0</v>
      </c>
    </row>
    <row r="4" ht="22.5" customHeight="1">
      <c r="L4" s="3" t="s">
        <v>10</v>
      </c>
      <c r="M4" s="3">
        <v>21.0</v>
      </c>
      <c r="S4" s="3" t="s">
        <v>10</v>
      </c>
      <c r="T4" s="3">
        <v>7.0</v>
      </c>
    </row>
    <row r="26" ht="22.5" customHeight="1">
      <c r="A26" s="1" t="s">
        <v>1</v>
      </c>
      <c r="B26" s="1" t="s">
        <v>11</v>
      </c>
    </row>
    <row r="27" ht="22.5" customHeight="1">
      <c r="A27" s="3" t="s">
        <v>12</v>
      </c>
      <c r="B27" s="4">
        <v>1278.0</v>
      </c>
    </row>
    <row r="28" ht="22.5" customHeight="1">
      <c r="A28" s="3" t="s">
        <v>13</v>
      </c>
      <c r="B28" s="4">
        <v>72.0</v>
      </c>
    </row>
    <row r="31" ht="22.5" customHeight="1">
      <c r="F31" s="5" t="s">
        <v>14</v>
      </c>
      <c r="G31" s="5" t="s">
        <v>15</v>
      </c>
      <c r="H31" s="5" t="s">
        <v>16</v>
      </c>
    </row>
    <row r="32" ht="22.5" customHeight="1">
      <c r="F32" s="3" t="s">
        <v>17</v>
      </c>
      <c r="G32" s="3" t="s">
        <v>18</v>
      </c>
      <c r="H32" s="3" t="s">
        <v>19</v>
      </c>
    </row>
    <row r="33" ht="22.5" customHeight="1">
      <c r="F33" s="3" t="s">
        <v>20</v>
      </c>
      <c r="G33" s="3" t="s">
        <v>21</v>
      </c>
      <c r="H33" s="3" t="s">
        <v>22</v>
      </c>
    </row>
    <row r="34" ht="22.5" customHeight="1">
      <c r="F34" s="3" t="s">
        <v>23</v>
      </c>
      <c r="G34" s="3" t="s">
        <v>24</v>
      </c>
      <c r="H34" s="3" t="s">
        <v>25</v>
      </c>
    </row>
    <row r="35" ht="22.5" customHeight="1">
      <c r="F35" s="3" t="s">
        <v>26</v>
      </c>
      <c r="G35" s="3" t="s">
        <v>27</v>
      </c>
      <c r="H35" s="3" t="s">
        <v>28</v>
      </c>
    </row>
    <row r="36" ht="22.5" customHeight="1">
      <c r="F36" s="3" t="s">
        <v>29</v>
      </c>
      <c r="G36" s="3" t="s">
        <v>30</v>
      </c>
      <c r="H36" s="3" t="s">
        <v>31</v>
      </c>
    </row>
  </sheetData>
  <dataValidations>
    <dataValidation type="custom" allowBlank="1" showDropDown="1" sqref="A2:A3">
      <formula1>OR(TIMEVALUE(TEXT(A2, "hh:mm:ss"))=A2, AND(ISNUMBER(A2), LEFT(CELL("format", A2))="D"))</formula1>
    </dataValidation>
    <dataValidation type="custom" allowBlank="1" showDropDown="1" sqref="B27:B28">
      <formula1>AND(ISNUMBER(B27),(NOT(OR(NOT(ISERROR(DATEVALUE(B27))), AND(ISNUMBER(B27), LEFT(CELL("format", B27))="D")))))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22.0"/>
    <col customWidth="1" min="3" max="3" width="21.75"/>
    <col customWidth="1" min="4" max="4" width="27.25"/>
    <col customWidth="1" min="5" max="5" width="17.13"/>
  </cols>
  <sheetData>
    <row r="1" ht="22.5" customHeight="1">
      <c r="A1" s="1" t="s">
        <v>32</v>
      </c>
      <c r="B1" s="1" t="s">
        <v>33</v>
      </c>
      <c r="C1" s="1" t="s">
        <v>34</v>
      </c>
      <c r="D1" s="1" t="s">
        <v>23</v>
      </c>
    </row>
    <row r="2" ht="22.5" customHeight="1">
      <c r="A2" s="3" t="s">
        <v>35</v>
      </c>
      <c r="B2" s="3" t="s">
        <v>36</v>
      </c>
      <c r="C2" s="3" t="s">
        <v>36</v>
      </c>
      <c r="D2" s="3" t="s">
        <v>37</v>
      </c>
    </row>
    <row r="3" ht="22.5" customHeight="1">
      <c r="A3" s="3" t="s">
        <v>38</v>
      </c>
      <c r="B3" s="3" t="s">
        <v>39</v>
      </c>
      <c r="C3" s="3" t="s">
        <v>40</v>
      </c>
      <c r="D3" s="3" t="s">
        <v>41</v>
      </c>
    </row>
    <row r="4" ht="22.5" customHeight="1">
      <c r="A4" s="3" t="s">
        <v>42</v>
      </c>
      <c r="B4" s="3" t="s">
        <v>43</v>
      </c>
      <c r="C4" s="3" t="s">
        <v>44</v>
      </c>
      <c r="D4" s="3" t="s">
        <v>37</v>
      </c>
    </row>
    <row r="5" ht="22.5" customHeight="1">
      <c r="A5" s="3" t="s">
        <v>45</v>
      </c>
      <c r="B5" s="3" t="s">
        <v>46</v>
      </c>
      <c r="C5" s="3" t="s">
        <v>47</v>
      </c>
      <c r="D5" s="3" t="s">
        <v>37</v>
      </c>
    </row>
    <row r="6" ht="22.5" customHeight="1">
      <c r="A6" s="3" t="s">
        <v>48</v>
      </c>
      <c r="B6" s="3" t="s">
        <v>49</v>
      </c>
      <c r="C6" s="3" t="s">
        <v>50</v>
      </c>
      <c r="D6" s="3" t="s">
        <v>37</v>
      </c>
    </row>
    <row r="7" ht="22.5" customHeight="1">
      <c r="A7" s="3" t="s">
        <v>51</v>
      </c>
      <c r="B7" s="3" t="s">
        <v>52</v>
      </c>
      <c r="C7" s="3" t="s">
        <v>53</v>
      </c>
      <c r="D7" s="3" t="s">
        <v>37</v>
      </c>
    </row>
    <row r="10" ht="22.5" customHeight="1">
      <c r="A10" s="1" t="s">
        <v>32</v>
      </c>
      <c r="B10" s="6" t="s">
        <v>54</v>
      </c>
      <c r="C10" s="6" t="s">
        <v>55</v>
      </c>
      <c r="D10" s="7" t="s">
        <v>56</v>
      </c>
      <c r="E10" s="7" t="s">
        <v>57</v>
      </c>
    </row>
    <row r="11" ht="22.5" customHeight="1">
      <c r="A11" s="3" t="s">
        <v>58</v>
      </c>
      <c r="B11" s="8" t="s">
        <v>46</v>
      </c>
      <c r="C11" s="8" t="s">
        <v>59</v>
      </c>
      <c r="D11" s="9" t="s">
        <v>47</v>
      </c>
      <c r="E11" s="9" t="s">
        <v>60</v>
      </c>
    </row>
    <row r="12" ht="22.5" customHeight="1">
      <c r="A12" s="3" t="s">
        <v>61</v>
      </c>
      <c r="B12" s="10" t="s">
        <v>62</v>
      </c>
      <c r="C12" s="8" t="s">
        <v>60</v>
      </c>
      <c r="D12" s="11" t="s">
        <v>62</v>
      </c>
      <c r="E12" s="9" t="s">
        <v>60</v>
      </c>
    </row>
    <row r="13" ht="22.5" customHeight="1">
      <c r="A13" s="3" t="s">
        <v>63</v>
      </c>
      <c r="B13" s="8" t="s">
        <v>64</v>
      </c>
      <c r="C13" s="8" t="s">
        <v>60</v>
      </c>
      <c r="D13" s="9" t="s">
        <v>64</v>
      </c>
      <c r="E13" s="9" t="s">
        <v>60</v>
      </c>
    </row>
    <row r="14" ht="22.5" customHeight="1">
      <c r="A14" s="3" t="s">
        <v>38</v>
      </c>
      <c r="B14" s="8" t="s">
        <v>39</v>
      </c>
      <c r="C14" s="8" t="s">
        <v>59</v>
      </c>
      <c r="D14" s="9" t="s">
        <v>65</v>
      </c>
      <c r="E14" s="9" t="s">
        <v>66</v>
      </c>
    </row>
    <row r="15" ht="22.5" customHeight="1">
      <c r="A15" s="3" t="s">
        <v>67</v>
      </c>
      <c r="B15" s="8" t="s">
        <v>68</v>
      </c>
      <c r="C15" s="8" t="s">
        <v>59</v>
      </c>
      <c r="D15" s="9" t="s">
        <v>69</v>
      </c>
      <c r="E15" s="9" t="s">
        <v>60</v>
      </c>
    </row>
    <row r="16" ht="22.5" customHeight="1">
      <c r="A16" s="3" t="s">
        <v>70</v>
      </c>
      <c r="B16" s="8" t="s">
        <v>71</v>
      </c>
      <c r="C16" s="8" t="s">
        <v>59</v>
      </c>
      <c r="D16" s="9" t="s">
        <v>72</v>
      </c>
      <c r="E16" s="9" t="s">
        <v>60</v>
      </c>
    </row>
    <row r="17" ht="22.5" customHeight="1">
      <c r="A17" s="3" t="s">
        <v>48</v>
      </c>
      <c r="B17" s="8" t="s">
        <v>49</v>
      </c>
      <c r="C17" s="8" t="s">
        <v>59</v>
      </c>
      <c r="D17" s="9" t="s">
        <v>50</v>
      </c>
      <c r="E17" s="9" t="s">
        <v>60</v>
      </c>
    </row>
  </sheetData>
  <hyperlinks>
    <hyperlink r:id="rId1" ref="B12"/>
    <hyperlink r:id="rId2" ref="D12"/>
  </hyperlinks>
  <drawing r:id="rId3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3" width="25.25"/>
    <col customWidth="1" min="4" max="4" width="12.38"/>
    <col customWidth="1" min="5" max="5" width="11.13"/>
    <col customWidth="1" min="6" max="6" width="14.5"/>
    <col customWidth="1" min="7" max="7" width="10.5"/>
    <col customWidth="1" min="8" max="9" width="18.5"/>
    <col customWidth="1" min="10" max="10" width="17.25"/>
    <col customWidth="1" min="11" max="11" width="23.75"/>
    <col customWidth="1" min="12" max="13" width="25.25"/>
    <col customWidth="1" min="17" max="18" width="18.5"/>
    <col customWidth="1" min="20" max="20" width="18.5"/>
    <col customWidth="1" min="21" max="21" width="15.13"/>
    <col customWidth="1" min="22" max="22" width="17.5"/>
    <col customWidth="1" min="23" max="23" width="18.63"/>
    <col customWidth="1" min="24" max="24" width="25.63"/>
    <col customWidth="1" min="25" max="25" width="20.88"/>
  </cols>
  <sheetData>
    <row r="1" ht="22.5" customHeight="1">
      <c r="A1" s="1" t="s">
        <v>73</v>
      </c>
      <c r="B1" s="12" t="s">
        <v>74</v>
      </c>
      <c r="C1" s="12" t="s">
        <v>75</v>
      </c>
      <c r="D1" s="13" t="s">
        <v>76</v>
      </c>
      <c r="E1" s="13" t="s">
        <v>77</v>
      </c>
      <c r="F1" s="13" t="s">
        <v>78</v>
      </c>
      <c r="G1" s="13" t="s">
        <v>79</v>
      </c>
      <c r="H1" s="13" t="s">
        <v>80</v>
      </c>
      <c r="I1" s="13" t="s">
        <v>81</v>
      </c>
      <c r="K1" s="1" t="s">
        <v>73</v>
      </c>
      <c r="L1" s="1" t="s">
        <v>74</v>
      </c>
      <c r="M1" s="1" t="s">
        <v>75</v>
      </c>
      <c r="N1" s="13" t="s">
        <v>76</v>
      </c>
      <c r="O1" s="13" t="s">
        <v>78</v>
      </c>
      <c r="P1" s="13" t="s">
        <v>79</v>
      </c>
      <c r="Q1" s="13" t="s">
        <v>80</v>
      </c>
      <c r="R1" s="13" t="s">
        <v>81</v>
      </c>
      <c r="T1" s="1" t="s">
        <v>1</v>
      </c>
      <c r="U1" s="1" t="s">
        <v>82</v>
      </c>
      <c r="V1" s="1" t="s">
        <v>83</v>
      </c>
      <c r="W1" s="1" t="s">
        <v>84</v>
      </c>
      <c r="X1" s="1" t="s">
        <v>85</v>
      </c>
      <c r="Y1" s="14" t="s">
        <v>86</v>
      </c>
    </row>
    <row r="2" ht="22.5" customHeight="1">
      <c r="A2" s="15">
        <v>46043.0</v>
      </c>
      <c r="B2" s="3" t="s">
        <v>87</v>
      </c>
      <c r="C2" s="3" t="s">
        <v>88</v>
      </c>
      <c r="D2" s="3">
        <v>1.0</v>
      </c>
      <c r="E2" s="16"/>
      <c r="F2" s="17" t="s">
        <v>89</v>
      </c>
      <c r="G2" s="18" t="s">
        <v>90</v>
      </c>
      <c r="H2" s="3" t="s">
        <v>91</v>
      </c>
      <c r="I2" s="19">
        <v>96.0</v>
      </c>
      <c r="K2" s="15">
        <v>46043.0</v>
      </c>
      <c r="L2" s="3" t="s">
        <v>92</v>
      </c>
      <c r="M2" s="3" t="s">
        <v>93</v>
      </c>
      <c r="N2" s="3">
        <v>1.0</v>
      </c>
      <c r="O2" s="17" t="s">
        <v>94</v>
      </c>
      <c r="P2" s="18" t="s">
        <v>90</v>
      </c>
      <c r="Q2" s="19" t="s">
        <v>95</v>
      </c>
      <c r="R2" s="20">
        <v>632.596</v>
      </c>
      <c r="T2" s="3" t="s">
        <v>33</v>
      </c>
      <c r="U2" s="3">
        <v>18.0</v>
      </c>
      <c r="V2" s="3" t="s">
        <v>91</v>
      </c>
      <c r="W2" s="3">
        <v>12.9</v>
      </c>
      <c r="X2" s="16">
        <f>(B23/B22)*100</f>
        <v>13.39143219</v>
      </c>
      <c r="Y2" s="3" t="s">
        <v>96</v>
      </c>
    </row>
    <row r="3" ht="22.5" customHeight="1">
      <c r="A3" s="15">
        <v>46038.0</v>
      </c>
      <c r="B3" s="21" t="s">
        <v>97</v>
      </c>
      <c r="C3" s="21" t="s">
        <v>98</v>
      </c>
      <c r="D3" s="19">
        <v>2.0</v>
      </c>
      <c r="E3" s="16"/>
      <c r="F3" s="17" t="s">
        <v>89</v>
      </c>
      <c r="G3" s="18" t="s">
        <v>90</v>
      </c>
      <c r="H3" s="3" t="s">
        <v>99</v>
      </c>
      <c r="I3" s="19">
        <v>99.0</v>
      </c>
      <c r="K3" s="15">
        <v>46042.0</v>
      </c>
      <c r="L3" s="3" t="s">
        <v>100</v>
      </c>
      <c r="M3" s="3" t="s">
        <v>101</v>
      </c>
      <c r="N3" s="19">
        <v>2.0</v>
      </c>
      <c r="O3" s="17" t="s">
        <v>89</v>
      </c>
      <c r="P3" s="18" t="s">
        <v>90</v>
      </c>
      <c r="Q3" s="19" t="s">
        <v>102</v>
      </c>
      <c r="R3" s="20">
        <v>939.38</v>
      </c>
      <c r="T3" s="3" t="s">
        <v>103</v>
      </c>
      <c r="U3" s="3">
        <v>7.0</v>
      </c>
      <c r="V3" s="3" t="s">
        <v>104</v>
      </c>
      <c r="W3" s="3">
        <v>120.5998245</v>
      </c>
      <c r="X3" s="16">
        <f>(L23/L22)*100</f>
        <v>17.63281646</v>
      </c>
      <c r="Y3" s="3" t="s">
        <v>105</v>
      </c>
    </row>
    <row r="4" ht="22.5" customHeight="1">
      <c r="A4" s="15">
        <v>46038.0</v>
      </c>
      <c r="B4" s="21" t="s">
        <v>106</v>
      </c>
      <c r="C4" s="21" t="s">
        <v>107</v>
      </c>
      <c r="D4" s="19">
        <v>1.0</v>
      </c>
      <c r="E4" s="16"/>
      <c r="F4" s="17" t="s">
        <v>89</v>
      </c>
      <c r="G4" s="18" t="s">
        <v>90</v>
      </c>
      <c r="H4" s="3" t="s">
        <v>99</v>
      </c>
      <c r="I4" s="19">
        <v>99.0</v>
      </c>
      <c r="K4" s="15">
        <v>46042.0</v>
      </c>
      <c r="L4" s="3" t="s">
        <v>108</v>
      </c>
      <c r="M4" s="3" t="s">
        <v>109</v>
      </c>
      <c r="N4" s="19">
        <v>3.0</v>
      </c>
      <c r="O4" s="17" t="s">
        <v>89</v>
      </c>
      <c r="P4" s="18" t="s">
        <v>90</v>
      </c>
      <c r="Q4" s="19" t="s">
        <v>110</v>
      </c>
      <c r="R4" s="20">
        <v>592.143</v>
      </c>
    </row>
    <row r="5" ht="22.5" customHeight="1">
      <c r="A5" s="22">
        <v>46038.0</v>
      </c>
      <c r="B5" s="21" t="s">
        <v>111</v>
      </c>
      <c r="C5" s="23" t="s">
        <v>112</v>
      </c>
      <c r="D5" s="19">
        <v>2.0</v>
      </c>
      <c r="E5" s="24"/>
      <c r="F5" s="17" t="s">
        <v>89</v>
      </c>
      <c r="G5" s="18" t="s">
        <v>90</v>
      </c>
      <c r="H5" s="3" t="s">
        <v>113</v>
      </c>
      <c r="I5" s="19">
        <v>126.0</v>
      </c>
      <c r="K5" s="15">
        <v>46042.0</v>
      </c>
      <c r="L5" s="3" t="s">
        <v>114</v>
      </c>
      <c r="M5" s="3" t="s">
        <v>115</v>
      </c>
      <c r="N5" s="19">
        <v>1.0</v>
      </c>
      <c r="O5" s="17" t="s">
        <v>94</v>
      </c>
      <c r="P5" s="18" t="s">
        <v>90</v>
      </c>
      <c r="Q5" s="19" t="s">
        <v>116</v>
      </c>
      <c r="R5" s="20">
        <v>580.696</v>
      </c>
    </row>
    <row r="6" ht="22.5" customHeight="1">
      <c r="A6" s="15">
        <v>46038.0</v>
      </c>
      <c r="B6" s="21" t="s">
        <v>117</v>
      </c>
      <c r="C6" s="21" t="s">
        <v>118</v>
      </c>
      <c r="D6" s="19">
        <v>1.0</v>
      </c>
      <c r="E6" s="24"/>
      <c r="F6" s="17" t="s">
        <v>94</v>
      </c>
      <c r="G6" s="18" t="s">
        <v>90</v>
      </c>
      <c r="H6" s="3" t="s">
        <v>91</v>
      </c>
      <c r="I6" s="19">
        <v>96.0</v>
      </c>
      <c r="K6" s="15">
        <v>46042.0</v>
      </c>
      <c r="L6" s="3" t="s">
        <v>119</v>
      </c>
      <c r="M6" s="3" t="s">
        <v>120</v>
      </c>
      <c r="N6" s="19">
        <v>2.0</v>
      </c>
      <c r="O6" s="17" t="s">
        <v>94</v>
      </c>
      <c r="P6" s="18" t="s">
        <v>90</v>
      </c>
      <c r="Q6" s="19" t="s">
        <v>121</v>
      </c>
      <c r="R6" s="20">
        <v>685.572</v>
      </c>
    </row>
    <row r="7" ht="22.5" customHeight="1">
      <c r="A7" s="15">
        <v>46038.0</v>
      </c>
      <c r="B7" s="21" t="s">
        <v>122</v>
      </c>
      <c r="C7" s="21" t="s">
        <v>123</v>
      </c>
      <c r="D7" s="19">
        <v>2.0</v>
      </c>
      <c r="E7" s="24"/>
      <c r="F7" s="17" t="s">
        <v>94</v>
      </c>
      <c r="G7" s="18" t="s">
        <v>90</v>
      </c>
      <c r="H7" s="3" t="s">
        <v>91</v>
      </c>
      <c r="I7" s="19">
        <v>96.0</v>
      </c>
      <c r="K7" s="15">
        <v>46042.0</v>
      </c>
      <c r="L7" s="3" t="s">
        <v>124</v>
      </c>
      <c r="M7" s="3" t="s">
        <v>125</v>
      </c>
      <c r="N7" s="19">
        <v>3.0</v>
      </c>
      <c r="O7" s="17" t="s">
        <v>94</v>
      </c>
      <c r="P7" s="18" t="s">
        <v>90</v>
      </c>
      <c r="Q7" s="19" t="s">
        <v>126</v>
      </c>
      <c r="R7" s="20">
        <v>704.756</v>
      </c>
    </row>
    <row r="8" ht="22.5" customHeight="1">
      <c r="A8" s="15">
        <v>46038.0</v>
      </c>
      <c r="B8" s="21" t="s">
        <v>127</v>
      </c>
      <c r="C8" s="21" t="s">
        <v>128</v>
      </c>
      <c r="D8" s="19">
        <v>1.0</v>
      </c>
      <c r="E8" s="24"/>
      <c r="F8" s="17" t="s">
        <v>94</v>
      </c>
      <c r="G8" s="18" t="s">
        <v>90</v>
      </c>
      <c r="H8" s="3" t="s">
        <v>129</v>
      </c>
      <c r="I8" s="19">
        <v>121.0</v>
      </c>
      <c r="K8" s="15">
        <v>46042.0</v>
      </c>
      <c r="L8" s="3" t="s">
        <v>130</v>
      </c>
      <c r="M8" s="3" t="s">
        <v>131</v>
      </c>
      <c r="N8" s="19">
        <v>4.0</v>
      </c>
      <c r="O8" s="17" t="s">
        <v>89</v>
      </c>
      <c r="P8" s="18" t="s">
        <v>90</v>
      </c>
      <c r="Q8" s="19" t="s">
        <v>132</v>
      </c>
      <c r="R8" s="20">
        <v>683.951</v>
      </c>
    </row>
    <row r="9" ht="22.5" customHeight="1">
      <c r="A9" s="15">
        <v>46038.0</v>
      </c>
      <c r="B9" s="21" t="s">
        <v>133</v>
      </c>
      <c r="C9" s="21" t="s">
        <v>134</v>
      </c>
      <c r="D9" s="19">
        <v>2.0</v>
      </c>
      <c r="E9" s="24"/>
      <c r="F9" s="17" t="s">
        <v>94</v>
      </c>
      <c r="G9" s="18" t="s">
        <v>90</v>
      </c>
      <c r="H9" s="3" t="s">
        <v>135</v>
      </c>
      <c r="I9" s="19">
        <v>97.0</v>
      </c>
      <c r="K9" s="15"/>
      <c r="N9" s="24"/>
      <c r="O9" s="25"/>
      <c r="P9" s="18"/>
      <c r="Q9" s="24"/>
      <c r="R9" s="24"/>
    </row>
    <row r="10" ht="22.5" customHeight="1">
      <c r="A10" s="15">
        <v>46038.0</v>
      </c>
      <c r="B10" s="21" t="s">
        <v>136</v>
      </c>
      <c r="C10" s="21" t="s">
        <v>137</v>
      </c>
      <c r="D10" s="19">
        <v>3.0</v>
      </c>
      <c r="E10" s="24"/>
      <c r="F10" s="17" t="s">
        <v>94</v>
      </c>
      <c r="G10" s="18" t="s">
        <v>90</v>
      </c>
      <c r="H10" s="19" t="s">
        <v>135</v>
      </c>
      <c r="I10" s="19">
        <v>97.0</v>
      </c>
      <c r="K10" s="15"/>
      <c r="N10" s="24"/>
      <c r="O10" s="25"/>
      <c r="P10" s="18"/>
      <c r="Q10" s="24"/>
      <c r="R10" s="24"/>
    </row>
    <row r="11" ht="22.5" customHeight="1">
      <c r="A11" s="15">
        <v>46038.0</v>
      </c>
      <c r="B11" s="21" t="s">
        <v>138</v>
      </c>
      <c r="C11" s="21" t="s">
        <v>139</v>
      </c>
      <c r="D11" s="19">
        <v>1.0</v>
      </c>
      <c r="E11" s="24"/>
      <c r="F11" s="17" t="s">
        <v>94</v>
      </c>
      <c r="G11" s="18" t="s">
        <v>90</v>
      </c>
      <c r="H11" s="3" t="s">
        <v>140</v>
      </c>
      <c r="I11" s="19">
        <v>127.0</v>
      </c>
      <c r="K11" s="15"/>
      <c r="N11" s="24"/>
      <c r="O11" s="25"/>
      <c r="P11" s="18"/>
      <c r="Q11" s="24"/>
      <c r="R11" s="24"/>
    </row>
    <row r="12" ht="22.5" customHeight="1">
      <c r="A12" s="15">
        <v>46038.0</v>
      </c>
      <c r="B12" s="21" t="s">
        <v>141</v>
      </c>
      <c r="C12" s="21" t="s">
        <v>142</v>
      </c>
      <c r="D12" s="19">
        <v>2.0</v>
      </c>
      <c r="E12" s="19"/>
      <c r="F12" s="17" t="s">
        <v>94</v>
      </c>
      <c r="G12" s="18" t="s">
        <v>90</v>
      </c>
      <c r="H12" s="3" t="s">
        <v>91</v>
      </c>
      <c r="I12" s="19">
        <v>96.0</v>
      </c>
      <c r="K12" s="15"/>
      <c r="N12" s="24"/>
      <c r="O12" s="25"/>
      <c r="P12" s="18"/>
      <c r="Q12" s="24"/>
      <c r="R12" s="24"/>
    </row>
    <row r="13" ht="22.5" customHeight="1">
      <c r="A13" s="15">
        <v>46038.0</v>
      </c>
      <c r="B13" s="21" t="s">
        <v>143</v>
      </c>
      <c r="C13" s="21" t="s">
        <v>144</v>
      </c>
      <c r="D13" s="19">
        <v>3.0</v>
      </c>
      <c r="E13" s="24"/>
      <c r="F13" s="17" t="s">
        <v>94</v>
      </c>
      <c r="G13" s="18" t="s">
        <v>90</v>
      </c>
      <c r="H13" s="3" t="s">
        <v>91</v>
      </c>
      <c r="I13" s="19">
        <v>96.0</v>
      </c>
      <c r="K13" s="15"/>
      <c r="N13" s="24"/>
      <c r="O13" s="25"/>
      <c r="P13" s="18"/>
      <c r="Q13" s="24"/>
      <c r="R13" s="24"/>
    </row>
    <row r="14" ht="22.5" customHeight="1">
      <c r="A14" s="15">
        <v>46038.0</v>
      </c>
      <c r="B14" s="21" t="s">
        <v>145</v>
      </c>
      <c r="C14" s="21" t="s">
        <v>146</v>
      </c>
      <c r="D14" s="19">
        <v>1.0</v>
      </c>
      <c r="E14" s="24"/>
      <c r="F14" s="17" t="s">
        <v>147</v>
      </c>
      <c r="G14" s="18" t="s">
        <v>90</v>
      </c>
      <c r="H14" s="3" t="s">
        <v>135</v>
      </c>
      <c r="I14" s="19">
        <v>97.0</v>
      </c>
      <c r="K14" s="15"/>
      <c r="N14" s="24"/>
      <c r="O14" s="25"/>
      <c r="P14" s="18"/>
      <c r="Q14" s="24"/>
      <c r="R14" s="24"/>
    </row>
    <row r="15" ht="22.5" customHeight="1">
      <c r="A15" s="15">
        <v>46038.0</v>
      </c>
      <c r="B15" s="21" t="s">
        <v>148</v>
      </c>
      <c r="C15" s="21" t="s">
        <v>149</v>
      </c>
      <c r="D15" s="19">
        <v>2.0</v>
      </c>
      <c r="E15" s="24"/>
      <c r="F15" s="17" t="s">
        <v>147</v>
      </c>
      <c r="G15" s="18" t="s">
        <v>90</v>
      </c>
      <c r="H15" s="3" t="s">
        <v>150</v>
      </c>
      <c r="I15" s="19">
        <v>120.0</v>
      </c>
      <c r="K15" s="15"/>
      <c r="N15" s="24"/>
      <c r="O15" s="25"/>
      <c r="P15" s="18"/>
      <c r="Q15" s="24"/>
      <c r="R15" s="24"/>
    </row>
    <row r="16" ht="22.5" customHeight="1">
      <c r="A16" s="15">
        <v>46038.0</v>
      </c>
      <c r="B16" s="21" t="s">
        <v>151</v>
      </c>
      <c r="C16" s="21" t="s">
        <v>152</v>
      </c>
      <c r="D16" s="3">
        <v>3.0</v>
      </c>
      <c r="F16" s="26" t="s">
        <v>147</v>
      </c>
      <c r="G16" s="18" t="s">
        <v>90</v>
      </c>
      <c r="H16" s="3" t="s">
        <v>91</v>
      </c>
      <c r="I16" s="3">
        <v>96.0</v>
      </c>
      <c r="K16" s="15"/>
      <c r="L16" s="19"/>
      <c r="M16" s="24"/>
      <c r="N16" s="24"/>
      <c r="O16" s="25"/>
      <c r="P16" s="18"/>
      <c r="Q16" s="24"/>
      <c r="R16" s="24"/>
    </row>
    <row r="17" ht="22.5" customHeight="1">
      <c r="A17" s="15">
        <v>46042.0</v>
      </c>
      <c r="B17" s="27" t="s">
        <v>153</v>
      </c>
      <c r="C17" s="27" t="s">
        <v>154</v>
      </c>
      <c r="D17" s="28">
        <v>1.0</v>
      </c>
      <c r="E17" s="18"/>
      <c r="F17" s="29" t="s">
        <v>89</v>
      </c>
      <c r="G17" s="18" t="s">
        <v>90</v>
      </c>
      <c r="H17" s="3" t="s">
        <v>91</v>
      </c>
      <c r="I17" s="28">
        <v>96.0</v>
      </c>
      <c r="J17" s="30"/>
      <c r="K17" s="15"/>
      <c r="L17" s="19"/>
      <c r="M17" s="24"/>
      <c r="N17" s="24"/>
      <c r="O17" s="25"/>
      <c r="P17" s="18"/>
      <c r="Q17" s="24"/>
      <c r="R17" s="24"/>
    </row>
    <row r="18" ht="22.5" customHeight="1">
      <c r="A18" s="15">
        <v>46042.0</v>
      </c>
      <c r="B18" s="28" t="s">
        <v>155</v>
      </c>
      <c r="C18" s="28" t="s">
        <v>156</v>
      </c>
      <c r="D18" s="28">
        <v>2.0</v>
      </c>
      <c r="E18" s="18"/>
      <c r="F18" s="29" t="s">
        <v>89</v>
      </c>
      <c r="G18" s="18" t="s">
        <v>90</v>
      </c>
      <c r="H18" s="3" t="s">
        <v>157</v>
      </c>
      <c r="I18" s="28">
        <v>119.0</v>
      </c>
      <c r="J18" s="30"/>
      <c r="K18" s="15"/>
      <c r="L18" s="19"/>
      <c r="M18" s="24"/>
      <c r="N18" s="24"/>
      <c r="O18" s="25"/>
      <c r="P18" s="18"/>
      <c r="Q18" s="24"/>
      <c r="R18" s="24"/>
    </row>
    <row r="19" ht="22.5" customHeight="1">
      <c r="A19" s="15">
        <v>46042.0</v>
      </c>
      <c r="B19" s="3" t="s">
        <v>158</v>
      </c>
      <c r="C19" s="3" t="s">
        <v>159</v>
      </c>
      <c r="D19" s="3">
        <v>3.0</v>
      </c>
      <c r="F19" s="26" t="s">
        <v>89</v>
      </c>
      <c r="G19" s="18" t="s">
        <v>90</v>
      </c>
      <c r="H19" s="3" t="s">
        <v>113</v>
      </c>
      <c r="I19" s="3">
        <v>126.0</v>
      </c>
      <c r="K19" s="15"/>
      <c r="L19" s="19"/>
      <c r="M19" s="24"/>
      <c r="N19" s="24"/>
      <c r="O19" s="25"/>
      <c r="P19" s="18"/>
      <c r="Q19" s="24"/>
      <c r="R19" s="24"/>
    </row>
    <row r="20">
      <c r="B20" s="31"/>
      <c r="C20" s="31"/>
    </row>
    <row r="21">
      <c r="B21" s="31"/>
      <c r="C21" s="31"/>
    </row>
    <row r="22">
      <c r="A22" s="32" t="s">
        <v>160</v>
      </c>
      <c r="B22" s="33">
        <f>MEDIAN(Lockin[Tempo_Total_seg])</f>
        <v>97</v>
      </c>
      <c r="C22" s="34" t="s">
        <v>161</v>
      </c>
      <c r="K22" s="32" t="s">
        <v>160</v>
      </c>
      <c r="L22" s="35">
        <f>MEDIAN(R2:R8)</f>
        <v>683.951</v>
      </c>
      <c r="M22" s="34" t="s">
        <v>162</v>
      </c>
    </row>
    <row r="23">
      <c r="A23" s="36" t="s">
        <v>163</v>
      </c>
      <c r="B23" s="37">
        <f>STDEVA(Lockin[Tempo_Total_seg])</f>
        <v>12.98968922</v>
      </c>
      <c r="C23" s="38" t="s">
        <v>164</v>
      </c>
      <c r="K23" s="36" t="s">
        <v>163</v>
      </c>
      <c r="L23" s="37">
        <f>STDEVA(R2:R8)</f>
        <v>120.5998245</v>
      </c>
      <c r="M23" s="38" t="s">
        <v>165</v>
      </c>
    </row>
    <row r="24">
      <c r="C24" s="31"/>
    </row>
    <row r="25">
      <c r="C25" s="31"/>
    </row>
    <row r="26">
      <c r="B26" s="31"/>
      <c r="C26" s="31"/>
    </row>
    <row r="27">
      <c r="B27" s="31"/>
      <c r="C27" s="31"/>
    </row>
    <row r="28">
      <c r="B28" s="31"/>
      <c r="C28" s="31"/>
    </row>
    <row r="29">
      <c r="B29" s="31"/>
      <c r="C29" s="31"/>
    </row>
    <row r="30">
      <c r="B30" s="31"/>
      <c r="C30" s="31"/>
    </row>
    <row r="31">
      <c r="B31" s="31"/>
      <c r="C31" s="31"/>
    </row>
    <row r="32">
      <c r="B32" s="31"/>
      <c r="C32" s="31"/>
    </row>
    <row r="33">
      <c r="B33" s="31"/>
      <c r="C33" s="31"/>
    </row>
    <row r="34">
      <c r="B34" s="31"/>
      <c r="C34" s="31"/>
    </row>
    <row r="35">
      <c r="B35" s="31"/>
      <c r="C35" s="31"/>
    </row>
    <row r="36">
      <c r="B36" s="31"/>
      <c r="C36" s="31"/>
    </row>
    <row r="37">
      <c r="B37" s="31"/>
      <c r="C37" s="31"/>
    </row>
    <row r="38">
      <c r="B38" s="31"/>
      <c r="C38" s="31"/>
    </row>
    <row r="39">
      <c r="B39" s="31"/>
      <c r="C39" s="31"/>
    </row>
    <row r="40">
      <c r="B40" s="31"/>
      <c r="C40" s="31"/>
    </row>
    <row r="41">
      <c r="B41" s="31"/>
      <c r="C41" s="31"/>
    </row>
    <row r="42">
      <c r="B42" s="31"/>
      <c r="C42" s="31"/>
    </row>
    <row r="43">
      <c r="B43" s="31"/>
      <c r="C43" s="31"/>
    </row>
    <row r="44">
      <c r="B44" s="31"/>
      <c r="C44" s="31"/>
    </row>
    <row r="45">
      <c r="B45" s="31"/>
      <c r="C45" s="31"/>
    </row>
    <row r="46">
      <c r="B46" s="31"/>
      <c r="C46" s="31"/>
    </row>
    <row r="47">
      <c r="B47" s="31"/>
      <c r="C47" s="31"/>
    </row>
    <row r="48">
      <c r="B48" s="31"/>
      <c r="C48" s="31"/>
    </row>
    <row r="49">
      <c r="B49" s="31"/>
      <c r="C49" s="31"/>
    </row>
    <row r="50">
      <c r="B50" s="31"/>
      <c r="C50" s="31"/>
    </row>
    <row r="51">
      <c r="B51" s="31"/>
      <c r="C51" s="31"/>
    </row>
    <row r="52">
      <c r="B52" s="31"/>
      <c r="C52" s="31"/>
    </row>
    <row r="53">
      <c r="B53" s="31"/>
      <c r="C53" s="31"/>
    </row>
    <row r="54">
      <c r="B54" s="31"/>
      <c r="C54" s="31"/>
    </row>
    <row r="55">
      <c r="B55" s="31"/>
      <c r="C55" s="31"/>
    </row>
    <row r="56">
      <c r="B56" s="31"/>
      <c r="C56" s="31"/>
    </row>
    <row r="57">
      <c r="B57" s="31"/>
      <c r="C57" s="31"/>
    </row>
    <row r="58">
      <c r="B58" s="31"/>
      <c r="C58" s="31"/>
    </row>
    <row r="59">
      <c r="B59" s="31"/>
      <c r="C59" s="31"/>
    </row>
    <row r="60">
      <c r="B60" s="31"/>
      <c r="C60" s="31"/>
    </row>
    <row r="61">
      <c r="B61" s="31"/>
      <c r="C61" s="31"/>
    </row>
    <row r="62">
      <c r="B62" s="31"/>
      <c r="C62" s="31"/>
    </row>
    <row r="63">
      <c r="B63" s="31"/>
      <c r="C63" s="31"/>
    </row>
    <row r="64">
      <c r="B64" s="31"/>
      <c r="C64" s="31"/>
    </row>
    <row r="65">
      <c r="B65" s="31"/>
      <c r="C65" s="31"/>
    </row>
    <row r="66">
      <c r="B66" s="31"/>
      <c r="C66" s="31"/>
    </row>
    <row r="67">
      <c r="B67" s="31"/>
      <c r="C67" s="31"/>
    </row>
    <row r="68">
      <c r="B68" s="31"/>
      <c r="C68" s="31"/>
    </row>
    <row r="69">
      <c r="B69" s="31"/>
      <c r="C69" s="31"/>
    </row>
    <row r="70">
      <c r="B70" s="31"/>
      <c r="C70" s="31"/>
    </row>
    <row r="71">
      <c r="B71" s="31"/>
      <c r="C71" s="31"/>
    </row>
    <row r="72">
      <c r="B72" s="31"/>
      <c r="C72" s="31"/>
    </row>
    <row r="73">
      <c r="B73" s="31"/>
      <c r="C73" s="31"/>
    </row>
    <row r="74">
      <c r="B74" s="31"/>
      <c r="C74" s="31"/>
    </row>
    <row r="75">
      <c r="B75" s="31"/>
      <c r="C75" s="31"/>
    </row>
    <row r="76">
      <c r="B76" s="31"/>
      <c r="C76" s="31"/>
    </row>
    <row r="77">
      <c r="B77" s="31"/>
      <c r="C77" s="31"/>
    </row>
    <row r="78">
      <c r="B78" s="31"/>
      <c r="C78" s="31"/>
    </row>
    <row r="79">
      <c r="B79" s="31"/>
      <c r="C79" s="31"/>
    </row>
    <row r="80">
      <c r="B80" s="31"/>
      <c r="C80" s="31"/>
    </row>
    <row r="81">
      <c r="B81" s="31"/>
      <c r="C81" s="31"/>
    </row>
    <row r="82">
      <c r="B82" s="31"/>
      <c r="C82" s="31"/>
    </row>
    <row r="83">
      <c r="B83" s="31"/>
      <c r="C83" s="31"/>
    </row>
    <row r="84">
      <c r="B84" s="31"/>
      <c r="C84" s="31"/>
    </row>
    <row r="85">
      <c r="B85" s="31"/>
      <c r="C85" s="31"/>
    </row>
    <row r="86">
      <c r="B86" s="31"/>
      <c r="C86" s="31"/>
    </row>
    <row r="87">
      <c r="B87" s="31"/>
      <c r="C87" s="31"/>
    </row>
    <row r="88">
      <c r="B88" s="31"/>
      <c r="C88" s="31"/>
    </row>
    <row r="89">
      <c r="B89" s="31"/>
      <c r="C89" s="31"/>
    </row>
    <row r="90">
      <c r="B90" s="31"/>
      <c r="C90" s="31"/>
    </row>
    <row r="91">
      <c r="B91" s="31"/>
      <c r="C91" s="31"/>
    </row>
    <row r="92">
      <c r="B92" s="31"/>
      <c r="C92" s="31"/>
    </row>
    <row r="93">
      <c r="B93" s="31"/>
      <c r="C93" s="31"/>
    </row>
    <row r="94">
      <c r="B94" s="31"/>
      <c r="C94" s="31"/>
    </row>
    <row r="95">
      <c r="B95" s="31"/>
      <c r="C95" s="31"/>
    </row>
    <row r="96">
      <c r="B96" s="31"/>
      <c r="C96" s="31"/>
    </row>
    <row r="97">
      <c r="B97" s="31"/>
      <c r="C97" s="31"/>
    </row>
    <row r="98">
      <c r="B98" s="31"/>
      <c r="C98" s="31"/>
    </row>
    <row r="99">
      <c r="B99" s="31"/>
      <c r="C99" s="31"/>
    </row>
    <row r="100">
      <c r="B100" s="31"/>
      <c r="C100" s="31"/>
    </row>
    <row r="101">
      <c r="B101" s="31"/>
      <c r="C101" s="31"/>
    </row>
    <row r="102">
      <c r="B102" s="31"/>
      <c r="C102" s="31"/>
    </row>
    <row r="103">
      <c r="B103" s="31"/>
      <c r="C103" s="31"/>
    </row>
    <row r="104">
      <c r="B104" s="31"/>
      <c r="C104" s="31"/>
    </row>
    <row r="105">
      <c r="B105" s="31"/>
      <c r="C105" s="31"/>
    </row>
    <row r="106">
      <c r="B106" s="31"/>
      <c r="C106" s="31"/>
    </row>
    <row r="107">
      <c r="B107" s="31"/>
      <c r="C107" s="31"/>
    </row>
    <row r="108">
      <c r="B108" s="31"/>
      <c r="C108" s="31"/>
    </row>
    <row r="109">
      <c r="B109" s="31"/>
      <c r="C109" s="31"/>
    </row>
    <row r="110">
      <c r="B110" s="31"/>
      <c r="C110" s="31"/>
    </row>
    <row r="111">
      <c r="B111" s="31"/>
      <c r="C111" s="31"/>
    </row>
    <row r="112">
      <c r="B112" s="31"/>
      <c r="C112" s="31"/>
    </row>
    <row r="113">
      <c r="B113" s="31"/>
      <c r="C113" s="31"/>
    </row>
    <row r="114">
      <c r="B114" s="31"/>
      <c r="C114" s="31"/>
    </row>
    <row r="115">
      <c r="B115" s="31"/>
      <c r="C115" s="31"/>
    </row>
    <row r="116">
      <c r="B116" s="31"/>
      <c r="C116" s="31"/>
    </row>
    <row r="117">
      <c r="B117" s="31"/>
      <c r="C117" s="31"/>
    </row>
    <row r="118">
      <c r="B118" s="31"/>
      <c r="C118" s="31"/>
    </row>
    <row r="119">
      <c r="B119" s="31"/>
      <c r="C119" s="31"/>
    </row>
    <row r="120">
      <c r="B120" s="31"/>
      <c r="C120" s="31"/>
    </row>
    <row r="121">
      <c r="B121" s="31"/>
      <c r="C121" s="31"/>
    </row>
    <row r="122">
      <c r="B122" s="31"/>
      <c r="C122" s="31"/>
    </row>
    <row r="123">
      <c r="B123" s="31"/>
      <c r="C123" s="31"/>
    </row>
    <row r="124">
      <c r="B124" s="31"/>
      <c r="C124" s="31"/>
    </row>
    <row r="125">
      <c r="B125" s="31"/>
      <c r="C125" s="31"/>
    </row>
    <row r="126">
      <c r="B126" s="31"/>
      <c r="C126" s="31"/>
    </row>
    <row r="127">
      <c r="B127" s="31"/>
      <c r="C127" s="31"/>
    </row>
    <row r="128">
      <c r="B128" s="31"/>
      <c r="C128" s="31"/>
    </row>
    <row r="129">
      <c r="B129" s="31"/>
      <c r="C129" s="31"/>
    </row>
    <row r="130">
      <c r="B130" s="31"/>
      <c r="C130" s="31"/>
    </row>
    <row r="131">
      <c r="B131" s="31"/>
      <c r="C131" s="31"/>
    </row>
    <row r="132">
      <c r="B132" s="31"/>
      <c r="C132" s="31"/>
    </row>
    <row r="133">
      <c r="B133" s="31"/>
      <c r="C133" s="31"/>
    </row>
    <row r="134">
      <c r="B134" s="31"/>
      <c r="C134" s="31"/>
    </row>
    <row r="135">
      <c r="B135" s="31"/>
      <c r="C135" s="31"/>
    </row>
    <row r="136">
      <c r="B136" s="31"/>
      <c r="C136" s="31"/>
    </row>
    <row r="137">
      <c r="B137" s="31"/>
      <c r="C137" s="31"/>
    </row>
    <row r="138">
      <c r="B138" s="31"/>
      <c r="C138" s="31"/>
    </row>
    <row r="139">
      <c r="B139" s="31"/>
      <c r="C139" s="31"/>
    </row>
    <row r="140">
      <c r="B140" s="31"/>
      <c r="C140" s="31"/>
    </row>
    <row r="141">
      <c r="B141" s="31"/>
      <c r="C141" s="31"/>
    </row>
    <row r="142">
      <c r="B142" s="31"/>
      <c r="C142" s="31"/>
    </row>
    <row r="143">
      <c r="B143" s="31"/>
      <c r="C143" s="31"/>
    </row>
    <row r="144">
      <c r="B144" s="31"/>
      <c r="C144" s="31"/>
    </row>
    <row r="145">
      <c r="B145" s="31"/>
      <c r="C145" s="31"/>
    </row>
    <row r="146">
      <c r="B146" s="31"/>
      <c r="C146" s="31"/>
    </row>
    <row r="147">
      <c r="B147" s="31"/>
      <c r="C147" s="31"/>
    </row>
    <row r="148">
      <c r="B148" s="31"/>
      <c r="C148" s="31"/>
    </row>
    <row r="149">
      <c r="B149" s="31"/>
      <c r="C149" s="31"/>
    </row>
    <row r="150">
      <c r="B150" s="31"/>
      <c r="C150" s="31"/>
    </row>
    <row r="151">
      <c r="B151" s="31"/>
      <c r="C151" s="31"/>
    </row>
    <row r="152">
      <c r="B152" s="31"/>
      <c r="C152" s="31"/>
    </row>
    <row r="153">
      <c r="B153" s="31"/>
      <c r="C153" s="31"/>
    </row>
    <row r="154">
      <c r="B154" s="31"/>
      <c r="C154" s="31"/>
    </row>
    <row r="155">
      <c r="B155" s="31"/>
      <c r="C155" s="31"/>
    </row>
    <row r="156">
      <c r="B156" s="31"/>
      <c r="C156" s="31"/>
    </row>
    <row r="157">
      <c r="B157" s="31"/>
      <c r="C157" s="31"/>
    </row>
    <row r="158">
      <c r="B158" s="31"/>
      <c r="C158" s="31"/>
    </row>
    <row r="159">
      <c r="B159" s="31"/>
      <c r="C159" s="31"/>
    </row>
    <row r="160">
      <c r="B160" s="31"/>
      <c r="C160" s="31"/>
    </row>
    <row r="161">
      <c r="B161" s="31"/>
      <c r="C161" s="31"/>
    </row>
    <row r="162">
      <c r="B162" s="31"/>
      <c r="C162" s="31"/>
    </row>
    <row r="163">
      <c r="B163" s="31"/>
      <c r="C163" s="31"/>
    </row>
    <row r="164">
      <c r="B164" s="31"/>
      <c r="C164" s="31"/>
    </row>
    <row r="165">
      <c r="B165" s="31"/>
      <c r="C165" s="31"/>
    </row>
    <row r="166">
      <c r="B166" s="31"/>
      <c r="C166" s="31"/>
    </row>
    <row r="167">
      <c r="B167" s="31"/>
      <c r="C167" s="31"/>
    </row>
    <row r="168">
      <c r="B168" s="31"/>
      <c r="C168" s="31"/>
    </row>
    <row r="169">
      <c r="B169" s="31"/>
      <c r="C169" s="31"/>
    </row>
    <row r="170">
      <c r="B170" s="31"/>
      <c r="C170" s="31"/>
    </row>
    <row r="171">
      <c r="B171" s="31"/>
      <c r="C171" s="31"/>
    </row>
    <row r="172">
      <c r="B172" s="31"/>
      <c r="C172" s="31"/>
    </row>
    <row r="173">
      <c r="B173" s="31"/>
      <c r="C173" s="31"/>
    </row>
    <row r="174">
      <c r="B174" s="31"/>
      <c r="C174" s="31"/>
    </row>
    <row r="175">
      <c r="B175" s="31"/>
      <c r="C175" s="31"/>
    </row>
    <row r="176">
      <c r="B176" s="31"/>
      <c r="C176" s="31"/>
    </row>
    <row r="177">
      <c r="B177" s="31"/>
      <c r="C177" s="31"/>
    </row>
    <row r="178">
      <c r="B178" s="31"/>
      <c r="C178" s="31"/>
    </row>
    <row r="179">
      <c r="B179" s="31"/>
      <c r="C179" s="31"/>
    </row>
    <row r="180">
      <c r="B180" s="31"/>
      <c r="C180" s="31"/>
    </row>
    <row r="181">
      <c r="B181" s="31"/>
      <c r="C181" s="31"/>
    </row>
    <row r="182">
      <c r="B182" s="31"/>
      <c r="C182" s="31"/>
    </row>
    <row r="183">
      <c r="B183" s="31"/>
      <c r="C183" s="31"/>
    </row>
    <row r="184">
      <c r="B184" s="31"/>
      <c r="C184" s="31"/>
    </row>
    <row r="185">
      <c r="B185" s="31"/>
      <c r="C185" s="31"/>
    </row>
    <row r="186">
      <c r="B186" s="31"/>
      <c r="C186" s="31"/>
    </row>
    <row r="187">
      <c r="B187" s="31"/>
      <c r="C187" s="31"/>
    </row>
    <row r="188">
      <c r="B188" s="31"/>
      <c r="C188" s="31"/>
    </row>
    <row r="189">
      <c r="B189" s="31"/>
      <c r="C189" s="31"/>
    </row>
    <row r="190">
      <c r="B190" s="31"/>
      <c r="C190" s="31"/>
    </row>
    <row r="191">
      <c r="B191" s="31"/>
      <c r="C191" s="31"/>
    </row>
    <row r="192">
      <c r="B192" s="31"/>
      <c r="C192" s="31"/>
    </row>
    <row r="193">
      <c r="B193" s="31"/>
      <c r="C193" s="31"/>
    </row>
    <row r="194">
      <c r="B194" s="31"/>
      <c r="C194" s="31"/>
    </row>
    <row r="195">
      <c r="B195" s="31"/>
      <c r="C195" s="31"/>
    </row>
    <row r="196">
      <c r="B196" s="31"/>
      <c r="C196" s="31"/>
    </row>
    <row r="197">
      <c r="B197" s="31"/>
      <c r="C197" s="31"/>
    </row>
    <row r="198">
      <c r="B198" s="31"/>
      <c r="C198" s="31"/>
    </row>
    <row r="199">
      <c r="B199" s="31"/>
      <c r="C199" s="31"/>
    </row>
    <row r="200">
      <c r="B200" s="31"/>
      <c r="C200" s="31"/>
    </row>
    <row r="201">
      <c r="B201" s="31"/>
      <c r="C201" s="31"/>
    </row>
    <row r="202">
      <c r="B202" s="31"/>
      <c r="C202" s="31"/>
    </row>
    <row r="203">
      <c r="B203" s="31"/>
      <c r="C203" s="31"/>
    </row>
    <row r="204">
      <c r="B204" s="31"/>
      <c r="C204" s="31"/>
    </row>
    <row r="205">
      <c r="B205" s="31"/>
      <c r="C205" s="31"/>
    </row>
    <row r="206">
      <c r="B206" s="31"/>
      <c r="C206" s="31"/>
    </row>
    <row r="207">
      <c r="B207" s="31"/>
      <c r="C207" s="31"/>
    </row>
    <row r="208">
      <c r="B208" s="31"/>
      <c r="C208" s="31"/>
    </row>
    <row r="209">
      <c r="B209" s="31"/>
      <c r="C209" s="31"/>
    </row>
    <row r="210">
      <c r="B210" s="31"/>
      <c r="C210" s="31"/>
    </row>
    <row r="211">
      <c r="B211" s="31"/>
      <c r="C211" s="31"/>
    </row>
    <row r="212">
      <c r="B212" s="31"/>
      <c r="C212" s="31"/>
    </row>
    <row r="213">
      <c r="B213" s="31"/>
      <c r="C213" s="31"/>
    </row>
    <row r="214">
      <c r="B214" s="31"/>
      <c r="C214" s="31"/>
    </row>
    <row r="215">
      <c r="B215" s="31"/>
      <c r="C215" s="31"/>
    </row>
    <row r="216">
      <c r="B216" s="31"/>
      <c r="C216" s="31"/>
    </row>
    <row r="217">
      <c r="B217" s="31"/>
      <c r="C217" s="31"/>
    </row>
    <row r="218">
      <c r="B218" s="31"/>
      <c r="C218" s="31"/>
    </row>
    <row r="219">
      <c r="B219" s="31"/>
      <c r="C219" s="31"/>
    </row>
    <row r="220">
      <c r="B220" s="31"/>
      <c r="C220" s="31"/>
    </row>
    <row r="221">
      <c r="B221" s="31"/>
      <c r="C221" s="31"/>
    </row>
    <row r="222">
      <c r="B222" s="31"/>
      <c r="C222" s="31"/>
    </row>
    <row r="223">
      <c r="B223" s="31"/>
      <c r="C223" s="31"/>
    </row>
    <row r="224">
      <c r="B224" s="31"/>
      <c r="C224" s="31"/>
    </row>
    <row r="225">
      <c r="B225" s="31"/>
      <c r="C225" s="31"/>
    </row>
    <row r="226">
      <c r="B226" s="31"/>
      <c r="C226" s="31"/>
    </row>
    <row r="227">
      <c r="B227" s="31"/>
      <c r="C227" s="31"/>
    </row>
    <row r="228">
      <c r="B228" s="31"/>
      <c r="C228" s="31"/>
    </row>
    <row r="229">
      <c r="B229" s="31"/>
      <c r="C229" s="31"/>
    </row>
    <row r="230">
      <c r="B230" s="31"/>
      <c r="C230" s="31"/>
    </row>
    <row r="231">
      <c r="B231" s="31"/>
      <c r="C231" s="31"/>
    </row>
    <row r="232">
      <c r="B232" s="31"/>
      <c r="C232" s="31"/>
    </row>
    <row r="233">
      <c r="B233" s="31"/>
      <c r="C233" s="31"/>
    </row>
    <row r="234">
      <c r="B234" s="31"/>
      <c r="C234" s="31"/>
    </row>
    <row r="235">
      <c r="B235" s="31"/>
      <c r="C235" s="31"/>
    </row>
    <row r="236">
      <c r="B236" s="31"/>
      <c r="C236" s="31"/>
    </row>
    <row r="237">
      <c r="B237" s="31"/>
      <c r="C237" s="31"/>
    </row>
    <row r="238">
      <c r="B238" s="31"/>
      <c r="C238" s="31"/>
    </row>
    <row r="239">
      <c r="B239" s="31"/>
      <c r="C239" s="31"/>
    </row>
    <row r="240">
      <c r="B240" s="31"/>
      <c r="C240" s="31"/>
    </row>
    <row r="241">
      <c r="B241" s="31"/>
      <c r="C241" s="31"/>
    </row>
    <row r="242">
      <c r="B242" s="31"/>
      <c r="C242" s="31"/>
    </row>
    <row r="243">
      <c r="B243" s="31"/>
      <c r="C243" s="31"/>
    </row>
    <row r="244">
      <c r="B244" s="31"/>
      <c r="C244" s="31"/>
    </row>
    <row r="245">
      <c r="B245" s="31"/>
      <c r="C245" s="31"/>
    </row>
    <row r="246">
      <c r="B246" s="31"/>
      <c r="C246" s="31"/>
    </row>
    <row r="247">
      <c r="B247" s="31"/>
      <c r="C247" s="31"/>
    </row>
    <row r="248">
      <c r="B248" s="31"/>
      <c r="C248" s="31"/>
    </row>
    <row r="249">
      <c r="B249" s="31"/>
      <c r="C249" s="31"/>
    </row>
    <row r="250">
      <c r="B250" s="31"/>
      <c r="C250" s="31"/>
    </row>
    <row r="251">
      <c r="B251" s="31"/>
      <c r="C251" s="31"/>
    </row>
    <row r="252">
      <c r="B252" s="31"/>
      <c r="C252" s="31"/>
    </row>
    <row r="253">
      <c r="B253" s="31"/>
      <c r="C253" s="31"/>
    </row>
    <row r="254">
      <c r="B254" s="31"/>
      <c r="C254" s="31"/>
    </row>
    <row r="255">
      <c r="B255" s="31"/>
      <c r="C255" s="31"/>
    </row>
    <row r="256">
      <c r="B256" s="31"/>
      <c r="C256" s="31"/>
    </row>
    <row r="257">
      <c r="B257" s="31"/>
      <c r="C257" s="31"/>
    </row>
    <row r="258">
      <c r="B258" s="31"/>
      <c r="C258" s="31"/>
    </row>
    <row r="259">
      <c r="B259" s="31"/>
      <c r="C259" s="31"/>
    </row>
    <row r="260">
      <c r="B260" s="31"/>
      <c r="C260" s="31"/>
    </row>
    <row r="261">
      <c r="B261" s="31"/>
      <c r="C261" s="31"/>
    </row>
    <row r="262">
      <c r="B262" s="31"/>
      <c r="C262" s="31"/>
    </row>
    <row r="263">
      <c r="B263" s="31"/>
      <c r="C263" s="31"/>
    </row>
    <row r="264">
      <c r="B264" s="31"/>
      <c r="C264" s="31"/>
    </row>
    <row r="265">
      <c r="B265" s="31"/>
      <c r="C265" s="31"/>
    </row>
    <row r="266">
      <c r="B266" s="31"/>
      <c r="C266" s="31"/>
    </row>
    <row r="267">
      <c r="B267" s="31"/>
      <c r="C267" s="31"/>
    </row>
    <row r="268">
      <c r="B268" s="31"/>
      <c r="C268" s="31"/>
    </row>
    <row r="269">
      <c r="B269" s="31"/>
      <c r="C269" s="31"/>
    </row>
    <row r="270">
      <c r="B270" s="31"/>
      <c r="C270" s="31"/>
    </row>
    <row r="271">
      <c r="B271" s="31"/>
      <c r="C271" s="31"/>
    </row>
    <row r="272">
      <c r="B272" s="31"/>
      <c r="C272" s="31"/>
    </row>
    <row r="273">
      <c r="B273" s="31"/>
      <c r="C273" s="31"/>
    </row>
    <row r="274">
      <c r="B274" s="31"/>
      <c r="C274" s="31"/>
    </row>
    <row r="275">
      <c r="B275" s="31"/>
      <c r="C275" s="31"/>
    </row>
    <row r="276">
      <c r="B276" s="31"/>
      <c r="C276" s="31"/>
    </row>
    <row r="277">
      <c r="B277" s="31"/>
      <c r="C277" s="31"/>
    </row>
    <row r="278">
      <c r="B278" s="31"/>
      <c r="C278" s="31"/>
    </row>
    <row r="279">
      <c r="B279" s="31"/>
      <c r="C279" s="31"/>
    </row>
    <row r="280">
      <c r="B280" s="31"/>
      <c r="C280" s="31"/>
    </row>
    <row r="281">
      <c r="B281" s="31"/>
      <c r="C281" s="31"/>
    </row>
    <row r="282">
      <c r="B282" s="31"/>
      <c r="C282" s="31"/>
    </row>
    <row r="283">
      <c r="B283" s="31"/>
      <c r="C283" s="31"/>
    </row>
    <row r="284">
      <c r="B284" s="31"/>
      <c r="C284" s="31"/>
    </row>
    <row r="285">
      <c r="B285" s="31"/>
      <c r="C285" s="31"/>
    </row>
    <row r="286">
      <c r="B286" s="31"/>
      <c r="C286" s="31"/>
    </row>
    <row r="287">
      <c r="B287" s="31"/>
      <c r="C287" s="31"/>
    </row>
    <row r="288">
      <c r="B288" s="31"/>
      <c r="C288" s="31"/>
    </row>
    <row r="289">
      <c r="B289" s="31"/>
      <c r="C289" s="31"/>
    </row>
    <row r="290">
      <c r="B290" s="31"/>
      <c r="C290" s="31"/>
    </row>
    <row r="291">
      <c r="B291" s="31"/>
      <c r="C291" s="31"/>
    </row>
    <row r="292">
      <c r="B292" s="31"/>
      <c r="C292" s="31"/>
    </row>
    <row r="293">
      <c r="B293" s="31"/>
      <c r="C293" s="31"/>
    </row>
    <row r="294">
      <c r="B294" s="31"/>
      <c r="C294" s="31"/>
    </row>
    <row r="295">
      <c r="B295" s="31"/>
      <c r="C295" s="31"/>
    </row>
    <row r="296">
      <c r="B296" s="31"/>
      <c r="C296" s="31"/>
    </row>
    <row r="297">
      <c r="B297" s="31"/>
      <c r="C297" s="31"/>
    </row>
    <row r="298">
      <c r="B298" s="31"/>
      <c r="C298" s="31"/>
    </row>
    <row r="299">
      <c r="B299" s="31"/>
      <c r="C299" s="31"/>
    </row>
    <row r="300">
      <c r="B300" s="31"/>
      <c r="C300" s="31"/>
    </row>
    <row r="301">
      <c r="B301" s="31"/>
      <c r="C301" s="31"/>
    </row>
    <row r="302">
      <c r="B302" s="31"/>
      <c r="C302" s="31"/>
    </row>
    <row r="303">
      <c r="B303" s="31"/>
      <c r="C303" s="31"/>
    </row>
    <row r="304">
      <c r="B304" s="31"/>
      <c r="C304" s="31"/>
    </row>
    <row r="305">
      <c r="B305" s="31"/>
      <c r="C305" s="31"/>
    </row>
    <row r="306">
      <c r="B306" s="31"/>
      <c r="C306" s="31"/>
    </row>
    <row r="307">
      <c r="B307" s="31"/>
      <c r="C307" s="31"/>
    </row>
    <row r="308">
      <c r="B308" s="31"/>
      <c r="C308" s="31"/>
    </row>
    <row r="309">
      <c r="B309" s="31"/>
      <c r="C309" s="31"/>
    </row>
    <row r="310">
      <c r="B310" s="31"/>
      <c r="C310" s="31"/>
    </row>
    <row r="311">
      <c r="B311" s="31"/>
      <c r="C311" s="31"/>
    </row>
    <row r="312">
      <c r="B312" s="31"/>
      <c r="C312" s="31"/>
    </row>
    <row r="313">
      <c r="B313" s="31"/>
      <c r="C313" s="31"/>
    </row>
    <row r="314">
      <c r="B314" s="31"/>
      <c r="C314" s="31"/>
    </row>
    <row r="315">
      <c r="B315" s="31"/>
      <c r="C315" s="31"/>
    </row>
    <row r="316">
      <c r="B316" s="31"/>
      <c r="C316" s="31"/>
    </row>
    <row r="317">
      <c r="B317" s="31"/>
      <c r="C317" s="31"/>
    </row>
    <row r="318">
      <c r="B318" s="31"/>
      <c r="C318" s="31"/>
    </row>
    <row r="319">
      <c r="B319" s="31"/>
      <c r="C319" s="31"/>
    </row>
    <row r="320">
      <c r="B320" s="31"/>
      <c r="C320" s="31"/>
    </row>
    <row r="321">
      <c r="B321" s="31"/>
      <c r="C321" s="31"/>
    </row>
    <row r="322">
      <c r="B322" s="31"/>
      <c r="C322" s="31"/>
    </row>
    <row r="323">
      <c r="B323" s="31"/>
      <c r="C323" s="31"/>
    </row>
    <row r="324">
      <c r="B324" s="31"/>
      <c r="C324" s="31"/>
    </row>
    <row r="325">
      <c r="B325" s="31"/>
      <c r="C325" s="31"/>
    </row>
    <row r="326">
      <c r="B326" s="31"/>
      <c r="C326" s="31"/>
    </row>
    <row r="327">
      <c r="B327" s="31"/>
      <c r="C327" s="31"/>
    </row>
    <row r="328">
      <c r="B328" s="31"/>
      <c r="C328" s="31"/>
    </row>
    <row r="329">
      <c r="B329" s="31"/>
      <c r="C329" s="31"/>
    </row>
    <row r="330">
      <c r="B330" s="31"/>
      <c r="C330" s="31"/>
    </row>
    <row r="331">
      <c r="B331" s="31"/>
      <c r="C331" s="31"/>
    </row>
    <row r="332">
      <c r="B332" s="31"/>
      <c r="C332" s="31"/>
    </row>
    <row r="333">
      <c r="B333" s="31"/>
      <c r="C333" s="31"/>
    </row>
    <row r="334">
      <c r="B334" s="31"/>
      <c r="C334" s="31"/>
    </row>
    <row r="335">
      <c r="B335" s="31"/>
      <c r="C335" s="31"/>
    </row>
    <row r="336">
      <c r="B336" s="31"/>
      <c r="C336" s="31"/>
    </row>
    <row r="337">
      <c r="B337" s="31"/>
      <c r="C337" s="31"/>
    </row>
    <row r="338">
      <c r="B338" s="31"/>
      <c r="C338" s="31"/>
    </row>
    <row r="339">
      <c r="B339" s="31"/>
      <c r="C339" s="31"/>
    </row>
    <row r="340">
      <c r="B340" s="31"/>
      <c r="C340" s="31"/>
    </row>
    <row r="341">
      <c r="B341" s="31"/>
      <c r="C341" s="31"/>
    </row>
    <row r="342">
      <c r="B342" s="31"/>
      <c r="C342" s="31"/>
    </row>
    <row r="343">
      <c r="B343" s="31"/>
      <c r="C343" s="31"/>
    </row>
    <row r="344">
      <c r="B344" s="31"/>
      <c r="C344" s="31"/>
    </row>
    <row r="345">
      <c r="B345" s="31"/>
      <c r="C345" s="31"/>
    </row>
    <row r="346">
      <c r="B346" s="31"/>
      <c r="C346" s="31"/>
    </row>
    <row r="347">
      <c r="B347" s="31"/>
      <c r="C347" s="31"/>
    </row>
    <row r="348">
      <c r="B348" s="31"/>
      <c r="C348" s="31"/>
    </row>
    <row r="349">
      <c r="B349" s="31"/>
      <c r="C349" s="31"/>
    </row>
    <row r="350">
      <c r="B350" s="31"/>
      <c r="C350" s="31"/>
    </row>
    <row r="351">
      <c r="B351" s="31"/>
      <c r="C351" s="31"/>
    </row>
    <row r="352">
      <c r="B352" s="31"/>
      <c r="C352" s="31"/>
    </row>
    <row r="353">
      <c r="B353" s="31"/>
      <c r="C353" s="31"/>
    </row>
    <row r="354">
      <c r="B354" s="31"/>
      <c r="C354" s="31"/>
    </row>
    <row r="355">
      <c r="B355" s="31"/>
      <c r="C355" s="31"/>
    </row>
    <row r="356">
      <c r="B356" s="31"/>
      <c r="C356" s="31"/>
    </row>
    <row r="357">
      <c r="B357" s="31"/>
      <c r="C357" s="31"/>
    </row>
    <row r="358">
      <c r="B358" s="31"/>
      <c r="C358" s="31"/>
    </row>
    <row r="359">
      <c r="B359" s="31"/>
      <c r="C359" s="31"/>
    </row>
    <row r="360">
      <c r="B360" s="31"/>
      <c r="C360" s="31"/>
    </row>
    <row r="361">
      <c r="B361" s="31"/>
      <c r="C361" s="31"/>
    </row>
    <row r="362">
      <c r="B362" s="31"/>
      <c r="C362" s="31"/>
    </row>
    <row r="363">
      <c r="B363" s="31"/>
      <c r="C363" s="31"/>
    </row>
    <row r="364">
      <c r="B364" s="31"/>
      <c r="C364" s="31"/>
    </row>
    <row r="365">
      <c r="B365" s="31"/>
      <c r="C365" s="31"/>
    </row>
    <row r="366">
      <c r="B366" s="31"/>
      <c r="C366" s="31"/>
    </row>
    <row r="367">
      <c r="B367" s="31"/>
      <c r="C367" s="31"/>
    </row>
    <row r="368">
      <c r="B368" s="31"/>
      <c r="C368" s="31"/>
    </row>
    <row r="369">
      <c r="B369" s="31"/>
      <c r="C369" s="31"/>
    </row>
    <row r="370">
      <c r="B370" s="31"/>
      <c r="C370" s="31"/>
    </row>
    <row r="371">
      <c r="B371" s="31"/>
      <c r="C371" s="31"/>
    </row>
    <row r="372">
      <c r="B372" s="31"/>
      <c r="C372" s="31"/>
    </row>
    <row r="373">
      <c r="B373" s="31"/>
      <c r="C373" s="31"/>
    </row>
    <row r="374">
      <c r="B374" s="31"/>
      <c r="C374" s="31"/>
    </row>
    <row r="375">
      <c r="B375" s="31"/>
      <c r="C375" s="31"/>
    </row>
    <row r="376">
      <c r="B376" s="31"/>
      <c r="C376" s="31"/>
    </row>
    <row r="377">
      <c r="B377" s="31"/>
      <c r="C377" s="31"/>
    </row>
    <row r="378">
      <c r="B378" s="31"/>
      <c r="C378" s="31"/>
    </row>
    <row r="379">
      <c r="B379" s="31"/>
      <c r="C379" s="31"/>
    </row>
    <row r="380">
      <c r="B380" s="31"/>
      <c r="C380" s="31"/>
    </row>
    <row r="381">
      <c r="B381" s="31"/>
      <c r="C381" s="31"/>
    </row>
    <row r="382">
      <c r="B382" s="31"/>
      <c r="C382" s="31"/>
    </row>
    <row r="383">
      <c r="B383" s="31"/>
      <c r="C383" s="31"/>
    </row>
    <row r="384">
      <c r="B384" s="31"/>
      <c r="C384" s="31"/>
    </row>
    <row r="385">
      <c r="B385" s="31"/>
      <c r="C385" s="31"/>
    </row>
    <row r="386">
      <c r="B386" s="31"/>
      <c r="C386" s="31"/>
    </row>
    <row r="387">
      <c r="B387" s="31"/>
      <c r="C387" s="31"/>
    </row>
    <row r="388">
      <c r="B388" s="31"/>
      <c r="C388" s="31"/>
    </row>
    <row r="389">
      <c r="B389" s="31"/>
      <c r="C389" s="31"/>
    </row>
    <row r="390">
      <c r="B390" s="31"/>
      <c r="C390" s="31"/>
    </row>
    <row r="391">
      <c r="B391" s="31"/>
      <c r="C391" s="31"/>
    </row>
    <row r="392">
      <c r="B392" s="31"/>
      <c r="C392" s="31"/>
    </row>
    <row r="393">
      <c r="B393" s="31"/>
      <c r="C393" s="31"/>
    </row>
    <row r="394">
      <c r="B394" s="31"/>
      <c r="C394" s="31"/>
    </row>
    <row r="395">
      <c r="B395" s="31"/>
      <c r="C395" s="31"/>
    </row>
    <row r="396">
      <c r="B396" s="31"/>
      <c r="C396" s="31"/>
    </row>
    <row r="397">
      <c r="B397" s="31"/>
      <c r="C397" s="31"/>
    </row>
    <row r="398">
      <c r="B398" s="31"/>
      <c r="C398" s="31"/>
    </row>
    <row r="399">
      <c r="B399" s="31"/>
      <c r="C399" s="31"/>
    </row>
    <row r="400">
      <c r="B400" s="31"/>
      <c r="C400" s="31"/>
    </row>
    <row r="401">
      <c r="B401" s="31"/>
      <c r="C401" s="31"/>
    </row>
    <row r="402">
      <c r="B402" s="31"/>
      <c r="C402" s="31"/>
    </row>
    <row r="403">
      <c r="B403" s="31"/>
      <c r="C403" s="31"/>
    </row>
    <row r="404">
      <c r="B404" s="31"/>
      <c r="C404" s="31"/>
    </row>
    <row r="405">
      <c r="B405" s="31"/>
      <c r="C405" s="31"/>
    </row>
    <row r="406">
      <c r="B406" s="31"/>
      <c r="C406" s="31"/>
    </row>
    <row r="407">
      <c r="B407" s="31"/>
      <c r="C407" s="31"/>
    </row>
    <row r="408">
      <c r="B408" s="31"/>
      <c r="C408" s="31"/>
    </row>
    <row r="409">
      <c r="B409" s="31"/>
      <c r="C409" s="31"/>
    </row>
    <row r="410">
      <c r="B410" s="31"/>
      <c r="C410" s="31"/>
    </row>
    <row r="411">
      <c r="B411" s="31"/>
      <c r="C411" s="31"/>
    </row>
    <row r="412">
      <c r="B412" s="31"/>
      <c r="C412" s="31"/>
    </row>
    <row r="413">
      <c r="B413" s="31"/>
      <c r="C413" s="31"/>
    </row>
    <row r="414">
      <c r="B414" s="31"/>
      <c r="C414" s="31"/>
    </row>
    <row r="415">
      <c r="B415" s="31"/>
      <c r="C415" s="31"/>
    </row>
    <row r="416">
      <c r="B416" s="31"/>
      <c r="C416" s="31"/>
    </row>
    <row r="417">
      <c r="B417" s="31"/>
      <c r="C417" s="31"/>
    </row>
    <row r="418">
      <c r="B418" s="31"/>
      <c r="C418" s="31"/>
    </row>
    <row r="419">
      <c r="B419" s="31"/>
      <c r="C419" s="31"/>
    </row>
    <row r="420">
      <c r="B420" s="31"/>
      <c r="C420" s="31"/>
    </row>
    <row r="421">
      <c r="B421" s="31"/>
      <c r="C421" s="31"/>
    </row>
    <row r="422">
      <c r="B422" s="31"/>
      <c r="C422" s="31"/>
    </row>
    <row r="423">
      <c r="B423" s="31"/>
      <c r="C423" s="31"/>
    </row>
    <row r="424">
      <c r="B424" s="31"/>
      <c r="C424" s="31"/>
    </row>
    <row r="425">
      <c r="B425" s="31"/>
      <c r="C425" s="31"/>
    </row>
    <row r="426">
      <c r="B426" s="31"/>
      <c r="C426" s="31"/>
    </row>
    <row r="427">
      <c r="B427" s="31"/>
      <c r="C427" s="31"/>
    </row>
    <row r="428">
      <c r="B428" s="31"/>
      <c r="C428" s="31"/>
    </row>
    <row r="429">
      <c r="B429" s="31"/>
      <c r="C429" s="31"/>
    </row>
    <row r="430">
      <c r="B430" s="31"/>
      <c r="C430" s="31"/>
    </row>
    <row r="431">
      <c r="B431" s="31"/>
      <c r="C431" s="31"/>
    </row>
    <row r="432">
      <c r="B432" s="31"/>
      <c r="C432" s="31"/>
    </row>
    <row r="433">
      <c r="B433" s="31"/>
      <c r="C433" s="31"/>
    </row>
    <row r="434">
      <c r="B434" s="31"/>
      <c r="C434" s="31"/>
    </row>
    <row r="435">
      <c r="B435" s="31"/>
      <c r="C435" s="31"/>
    </row>
    <row r="436">
      <c r="B436" s="31"/>
      <c r="C436" s="31"/>
    </row>
    <row r="437">
      <c r="B437" s="31"/>
      <c r="C437" s="31"/>
    </row>
    <row r="438">
      <c r="B438" s="31"/>
      <c r="C438" s="31"/>
    </row>
    <row r="439">
      <c r="B439" s="31"/>
      <c r="C439" s="31"/>
    </row>
    <row r="440">
      <c r="B440" s="31"/>
      <c r="C440" s="31"/>
    </row>
    <row r="441">
      <c r="B441" s="31"/>
      <c r="C441" s="31"/>
    </row>
    <row r="442">
      <c r="B442" s="31"/>
      <c r="C442" s="31"/>
    </row>
    <row r="443">
      <c r="B443" s="31"/>
      <c r="C443" s="31"/>
    </row>
    <row r="444">
      <c r="B444" s="31"/>
      <c r="C444" s="31"/>
    </row>
    <row r="445">
      <c r="B445" s="31"/>
      <c r="C445" s="31"/>
    </row>
    <row r="446">
      <c r="B446" s="31"/>
      <c r="C446" s="31"/>
    </row>
    <row r="447">
      <c r="B447" s="31"/>
      <c r="C447" s="31"/>
    </row>
    <row r="448">
      <c r="B448" s="31"/>
      <c r="C448" s="31"/>
    </row>
    <row r="449">
      <c r="B449" s="31"/>
      <c r="C449" s="31"/>
    </row>
    <row r="450">
      <c r="B450" s="31"/>
      <c r="C450" s="31"/>
    </row>
    <row r="451">
      <c r="B451" s="31"/>
      <c r="C451" s="31"/>
    </row>
    <row r="452">
      <c r="B452" s="31"/>
      <c r="C452" s="31"/>
    </row>
    <row r="453">
      <c r="B453" s="31"/>
      <c r="C453" s="31"/>
    </row>
    <row r="454">
      <c r="B454" s="31"/>
      <c r="C454" s="31"/>
    </row>
    <row r="455">
      <c r="B455" s="31"/>
      <c r="C455" s="31"/>
    </row>
    <row r="456">
      <c r="B456" s="31"/>
      <c r="C456" s="31"/>
    </row>
    <row r="457">
      <c r="B457" s="31"/>
      <c r="C457" s="31"/>
    </row>
    <row r="458">
      <c r="B458" s="31"/>
      <c r="C458" s="31"/>
    </row>
    <row r="459">
      <c r="B459" s="31"/>
      <c r="C459" s="31"/>
    </row>
    <row r="460">
      <c r="B460" s="31"/>
      <c r="C460" s="31"/>
    </row>
    <row r="461">
      <c r="B461" s="31"/>
      <c r="C461" s="31"/>
    </row>
    <row r="462">
      <c r="B462" s="31"/>
      <c r="C462" s="31"/>
    </row>
    <row r="463">
      <c r="B463" s="31"/>
      <c r="C463" s="31"/>
    </row>
    <row r="464">
      <c r="B464" s="31"/>
      <c r="C464" s="31"/>
    </row>
    <row r="465">
      <c r="B465" s="31"/>
      <c r="C465" s="31"/>
    </row>
    <row r="466">
      <c r="B466" s="31"/>
      <c r="C466" s="31"/>
    </row>
    <row r="467">
      <c r="B467" s="31"/>
      <c r="C467" s="31"/>
    </row>
    <row r="468">
      <c r="B468" s="31"/>
      <c r="C468" s="31"/>
    </row>
    <row r="469">
      <c r="B469" s="31"/>
      <c r="C469" s="31"/>
    </row>
    <row r="470">
      <c r="B470" s="31"/>
      <c r="C470" s="31"/>
    </row>
    <row r="471">
      <c r="B471" s="31"/>
      <c r="C471" s="31"/>
    </row>
    <row r="472">
      <c r="B472" s="31"/>
      <c r="C472" s="31"/>
    </row>
    <row r="473">
      <c r="B473" s="31"/>
      <c r="C473" s="31"/>
    </row>
    <row r="474">
      <c r="B474" s="31"/>
      <c r="C474" s="31"/>
    </row>
    <row r="475">
      <c r="B475" s="31"/>
      <c r="C475" s="31"/>
    </row>
    <row r="476">
      <c r="B476" s="31"/>
      <c r="C476" s="31"/>
    </row>
    <row r="477">
      <c r="B477" s="31"/>
      <c r="C477" s="31"/>
    </row>
    <row r="478">
      <c r="B478" s="31"/>
      <c r="C478" s="31"/>
    </row>
    <row r="479">
      <c r="B479" s="31"/>
      <c r="C479" s="31"/>
    </row>
    <row r="480">
      <c r="B480" s="31"/>
      <c r="C480" s="31"/>
    </row>
    <row r="481">
      <c r="B481" s="31"/>
      <c r="C481" s="31"/>
    </row>
    <row r="482">
      <c r="B482" s="31"/>
      <c r="C482" s="31"/>
    </row>
    <row r="483">
      <c r="B483" s="31"/>
      <c r="C483" s="31"/>
    </row>
    <row r="484">
      <c r="B484" s="31"/>
      <c r="C484" s="31"/>
    </row>
    <row r="485">
      <c r="B485" s="31"/>
      <c r="C485" s="31"/>
    </row>
    <row r="486">
      <c r="B486" s="31"/>
      <c r="C486" s="31"/>
    </row>
    <row r="487">
      <c r="B487" s="31"/>
      <c r="C487" s="31"/>
    </row>
    <row r="488">
      <c r="B488" s="31"/>
      <c r="C488" s="31"/>
    </row>
    <row r="489">
      <c r="B489" s="31"/>
      <c r="C489" s="31"/>
    </row>
    <row r="490">
      <c r="B490" s="31"/>
      <c r="C490" s="31"/>
    </row>
    <row r="491">
      <c r="B491" s="31"/>
      <c r="C491" s="31"/>
    </row>
    <row r="492">
      <c r="B492" s="31"/>
      <c r="C492" s="31"/>
    </row>
    <row r="493">
      <c r="B493" s="31"/>
      <c r="C493" s="31"/>
    </row>
    <row r="494">
      <c r="B494" s="31"/>
      <c r="C494" s="31"/>
    </row>
    <row r="495">
      <c r="B495" s="31"/>
      <c r="C495" s="31"/>
    </row>
    <row r="496">
      <c r="B496" s="31"/>
      <c r="C496" s="31"/>
    </row>
    <row r="497">
      <c r="B497" s="31"/>
      <c r="C497" s="31"/>
    </row>
    <row r="498">
      <c r="B498" s="31"/>
      <c r="C498" s="31"/>
    </row>
    <row r="499">
      <c r="B499" s="31"/>
      <c r="C499" s="31"/>
    </row>
    <row r="500">
      <c r="B500" s="31"/>
      <c r="C500" s="31"/>
    </row>
    <row r="501">
      <c r="B501" s="31"/>
      <c r="C501" s="31"/>
    </row>
    <row r="502">
      <c r="B502" s="31"/>
      <c r="C502" s="31"/>
    </row>
    <row r="503">
      <c r="B503" s="31"/>
      <c r="C503" s="31"/>
    </row>
    <row r="504">
      <c r="B504" s="31"/>
      <c r="C504" s="31"/>
    </row>
    <row r="505">
      <c r="B505" s="31"/>
      <c r="C505" s="31"/>
    </row>
    <row r="506">
      <c r="B506" s="31"/>
      <c r="C506" s="31"/>
    </row>
    <row r="507">
      <c r="B507" s="31"/>
      <c r="C507" s="31"/>
    </row>
    <row r="508">
      <c r="B508" s="31"/>
      <c r="C508" s="31"/>
    </row>
    <row r="509">
      <c r="B509" s="31"/>
      <c r="C509" s="31"/>
    </row>
    <row r="510">
      <c r="B510" s="31"/>
      <c r="C510" s="31"/>
    </row>
    <row r="511">
      <c r="B511" s="31"/>
      <c r="C511" s="31"/>
    </row>
    <row r="512">
      <c r="B512" s="31"/>
      <c r="C512" s="31"/>
    </row>
    <row r="513">
      <c r="B513" s="31"/>
      <c r="C513" s="31"/>
    </row>
    <row r="514">
      <c r="B514" s="31"/>
      <c r="C514" s="31"/>
    </row>
    <row r="515">
      <c r="B515" s="31"/>
      <c r="C515" s="31"/>
    </row>
    <row r="516">
      <c r="B516" s="31"/>
      <c r="C516" s="31"/>
    </row>
    <row r="517">
      <c r="B517" s="31"/>
      <c r="C517" s="31"/>
    </row>
    <row r="518">
      <c r="B518" s="31"/>
      <c r="C518" s="31"/>
    </row>
    <row r="519">
      <c r="B519" s="31"/>
      <c r="C519" s="31"/>
    </row>
    <row r="520">
      <c r="B520" s="31"/>
      <c r="C520" s="31"/>
    </row>
    <row r="521">
      <c r="B521" s="31"/>
      <c r="C521" s="31"/>
    </row>
    <row r="522">
      <c r="B522" s="31"/>
      <c r="C522" s="31"/>
    </row>
    <row r="523">
      <c r="B523" s="31"/>
      <c r="C523" s="31"/>
    </row>
    <row r="524">
      <c r="B524" s="31"/>
      <c r="C524" s="31"/>
    </row>
    <row r="525">
      <c r="B525" s="31"/>
      <c r="C525" s="31"/>
    </row>
    <row r="526">
      <c r="B526" s="31"/>
      <c r="C526" s="31"/>
    </row>
    <row r="527">
      <c r="B527" s="31"/>
      <c r="C527" s="31"/>
    </row>
    <row r="528">
      <c r="B528" s="31"/>
      <c r="C528" s="31"/>
    </row>
    <row r="529">
      <c r="B529" s="31"/>
      <c r="C529" s="31"/>
    </row>
    <row r="530">
      <c r="B530" s="31"/>
      <c r="C530" s="31"/>
    </row>
    <row r="531">
      <c r="B531" s="31"/>
      <c r="C531" s="31"/>
    </row>
    <row r="532">
      <c r="B532" s="31"/>
      <c r="C532" s="31"/>
    </row>
    <row r="533">
      <c r="B533" s="31"/>
      <c r="C533" s="31"/>
    </row>
    <row r="534">
      <c r="B534" s="31"/>
      <c r="C534" s="31"/>
    </row>
    <row r="535">
      <c r="B535" s="31"/>
      <c r="C535" s="31"/>
    </row>
    <row r="536">
      <c r="B536" s="31"/>
      <c r="C536" s="31"/>
    </row>
    <row r="537">
      <c r="B537" s="31"/>
      <c r="C537" s="31"/>
    </row>
    <row r="538">
      <c r="B538" s="31"/>
      <c r="C538" s="31"/>
    </row>
    <row r="539">
      <c r="B539" s="31"/>
      <c r="C539" s="31"/>
    </row>
    <row r="540">
      <c r="B540" s="31"/>
      <c r="C540" s="31"/>
    </row>
    <row r="541">
      <c r="B541" s="31"/>
      <c r="C541" s="31"/>
    </row>
    <row r="542">
      <c r="B542" s="31"/>
      <c r="C542" s="31"/>
    </row>
    <row r="543">
      <c r="B543" s="31"/>
      <c r="C543" s="31"/>
    </row>
    <row r="544">
      <c r="B544" s="31"/>
      <c r="C544" s="31"/>
    </row>
    <row r="545">
      <c r="B545" s="31"/>
      <c r="C545" s="31"/>
    </row>
    <row r="546">
      <c r="B546" s="31"/>
      <c r="C546" s="31"/>
    </row>
    <row r="547">
      <c r="B547" s="31"/>
      <c r="C547" s="31"/>
    </row>
    <row r="548">
      <c r="B548" s="31"/>
      <c r="C548" s="31"/>
    </row>
    <row r="549">
      <c r="B549" s="31"/>
      <c r="C549" s="31"/>
    </row>
    <row r="550">
      <c r="B550" s="31"/>
      <c r="C550" s="31"/>
    </row>
    <row r="551">
      <c r="B551" s="31"/>
      <c r="C551" s="31"/>
    </row>
    <row r="552">
      <c r="B552" s="31"/>
      <c r="C552" s="31"/>
    </row>
    <row r="553">
      <c r="B553" s="31"/>
      <c r="C553" s="31"/>
    </row>
    <row r="554">
      <c r="B554" s="31"/>
      <c r="C554" s="31"/>
    </row>
    <row r="555">
      <c r="B555" s="31"/>
      <c r="C555" s="31"/>
    </row>
    <row r="556">
      <c r="B556" s="31"/>
      <c r="C556" s="31"/>
    </row>
    <row r="557">
      <c r="B557" s="31"/>
      <c r="C557" s="31"/>
    </row>
    <row r="558">
      <c r="B558" s="31"/>
      <c r="C558" s="31"/>
    </row>
    <row r="559">
      <c r="B559" s="31"/>
      <c r="C559" s="31"/>
    </row>
    <row r="560">
      <c r="B560" s="31"/>
      <c r="C560" s="31"/>
    </row>
    <row r="561">
      <c r="B561" s="31"/>
      <c r="C561" s="31"/>
    </row>
    <row r="562">
      <c r="B562" s="31"/>
      <c r="C562" s="31"/>
    </row>
    <row r="563">
      <c r="B563" s="31"/>
      <c r="C563" s="31"/>
    </row>
    <row r="564">
      <c r="B564" s="31"/>
      <c r="C564" s="31"/>
    </row>
    <row r="565">
      <c r="B565" s="31"/>
      <c r="C565" s="31"/>
    </row>
    <row r="566">
      <c r="B566" s="31"/>
      <c r="C566" s="31"/>
    </row>
    <row r="567">
      <c r="B567" s="31"/>
      <c r="C567" s="31"/>
    </row>
    <row r="568">
      <c r="B568" s="31"/>
      <c r="C568" s="31"/>
    </row>
    <row r="569">
      <c r="B569" s="31"/>
      <c r="C569" s="31"/>
    </row>
    <row r="570">
      <c r="B570" s="31"/>
      <c r="C570" s="31"/>
    </row>
    <row r="571">
      <c r="B571" s="31"/>
      <c r="C571" s="31"/>
    </row>
    <row r="572">
      <c r="B572" s="31"/>
      <c r="C572" s="31"/>
    </row>
    <row r="573">
      <c r="B573" s="31"/>
      <c r="C573" s="31"/>
    </row>
    <row r="574">
      <c r="B574" s="31"/>
      <c r="C574" s="31"/>
    </row>
    <row r="575">
      <c r="B575" s="31"/>
      <c r="C575" s="31"/>
    </row>
    <row r="576">
      <c r="B576" s="31"/>
      <c r="C576" s="31"/>
    </row>
    <row r="577">
      <c r="B577" s="31"/>
      <c r="C577" s="31"/>
    </row>
    <row r="578">
      <c r="B578" s="31"/>
      <c r="C578" s="31"/>
    </row>
    <row r="579">
      <c r="B579" s="31"/>
      <c r="C579" s="31"/>
    </row>
    <row r="580">
      <c r="B580" s="31"/>
      <c r="C580" s="31"/>
    </row>
    <row r="581">
      <c r="B581" s="31"/>
      <c r="C581" s="31"/>
    </row>
    <row r="582">
      <c r="B582" s="31"/>
      <c r="C582" s="31"/>
    </row>
    <row r="583">
      <c r="B583" s="31"/>
      <c r="C583" s="31"/>
    </row>
    <row r="584">
      <c r="B584" s="31"/>
      <c r="C584" s="31"/>
    </row>
    <row r="585">
      <c r="B585" s="31"/>
      <c r="C585" s="31"/>
    </row>
    <row r="586">
      <c r="B586" s="31"/>
      <c r="C586" s="31"/>
    </row>
    <row r="587">
      <c r="B587" s="31"/>
      <c r="C587" s="31"/>
    </row>
    <row r="588">
      <c r="B588" s="31"/>
      <c r="C588" s="31"/>
    </row>
    <row r="589">
      <c r="B589" s="31"/>
      <c r="C589" s="31"/>
    </row>
    <row r="590">
      <c r="B590" s="31"/>
      <c r="C590" s="31"/>
    </row>
    <row r="591">
      <c r="B591" s="31"/>
      <c r="C591" s="31"/>
    </row>
    <row r="592">
      <c r="B592" s="31"/>
      <c r="C592" s="31"/>
    </row>
    <row r="593">
      <c r="B593" s="31"/>
      <c r="C593" s="31"/>
    </row>
    <row r="594">
      <c r="B594" s="31"/>
      <c r="C594" s="31"/>
    </row>
    <row r="595">
      <c r="B595" s="31"/>
      <c r="C595" s="31"/>
    </row>
    <row r="596">
      <c r="B596" s="31"/>
      <c r="C596" s="31"/>
    </row>
    <row r="597">
      <c r="B597" s="31"/>
      <c r="C597" s="31"/>
    </row>
    <row r="598">
      <c r="B598" s="31"/>
      <c r="C598" s="31"/>
    </row>
    <row r="599">
      <c r="B599" s="31"/>
      <c r="C599" s="31"/>
    </row>
    <row r="600">
      <c r="B600" s="31"/>
      <c r="C600" s="31"/>
    </row>
    <row r="601">
      <c r="B601" s="31"/>
      <c r="C601" s="31"/>
    </row>
    <row r="602">
      <c r="B602" s="31"/>
      <c r="C602" s="31"/>
    </row>
    <row r="603">
      <c r="B603" s="31"/>
      <c r="C603" s="31"/>
    </row>
    <row r="604">
      <c r="B604" s="31"/>
      <c r="C604" s="31"/>
    </row>
    <row r="605">
      <c r="B605" s="31"/>
      <c r="C605" s="31"/>
    </row>
    <row r="606">
      <c r="B606" s="31"/>
      <c r="C606" s="31"/>
    </row>
    <row r="607">
      <c r="B607" s="31"/>
      <c r="C607" s="31"/>
    </row>
    <row r="608">
      <c r="B608" s="31"/>
      <c r="C608" s="31"/>
    </row>
    <row r="609">
      <c r="B609" s="31"/>
      <c r="C609" s="31"/>
    </row>
    <row r="610">
      <c r="B610" s="31"/>
      <c r="C610" s="31"/>
    </row>
    <row r="611">
      <c r="B611" s="31"/>
      <c r="C611" s="31"/>
    </row>
    <row r="612">
      <c r="B612" s="31"/>
      <c r="C612" s="31"/>
    </row>
    <row r="613">
      <c r="B613" s="31"/>
      <c r="C613" s="31"/>
    </row>
    <row r="614">
      <c r="B614" s="31"/>
      <c r="C614" s="31"/>
    </row>
    <row r="615">
      <c r="B615" s="31"/>
      <c r="C615" s="31"/>
    </row>
    <row r="616">
      <c r="B616" s="31"/>
      <c r="C616" s="31"/>
    </row>
    <row r="617">
      <c r="B617" s="31"/>
      <c r="C617" s="31"/>
    </row>
    <row r="618">
      <c r="B618" s="31"/>
      <c r="C618" s="31"/>
    </row>
    <row r="619">
      <c r="B619" s="31"/>
      <c r="C619" s="31"/>
    </row>
    <row r="620">
      <c r="B620" s="31"/>
      <c r="C620" s="31"/>
    </row>
    <row r="621">
      <c r="B621" s="31"/>
      <c r="C621" s="31"/>
    </row>
    <row r="622">
      <c r="B622" s="31"/>
      <c r="C622" s="31"/>
    </row>
    <row r="623">
      <c r="B623" s="31"/>
      <c r="C623" s="31"/>
    </row>
    <row r="624">
      <c r="B624" s="31"/>
      <c r="C624" s="31"/>
    </row>
    <row r="625">
      <c r="B625" s="31"/>
      <c r="C625" s="31"/>
    </row>
    <row r="626">
      <c r="B626" s="31"/>
      <c r="C626" s="31"/>
    </row>
    <row r="627">
      <c r="B627" s="31"/>
      <c r="C627" s="31"/>
    </row>
    <row r="628">
      <c r="B628" s="31"/>
      <c r="C628" s="31"/>
    </row>
    <row r="629">
      <c r="B629" s="31"/>
      <c r="C629" s="31"/>
    </row>
    <row r="630">
      <c r="B630" s="31"/>
      <c r="C630" s="31"/>
    </row>
    <row r="631">
      <c r="B631" s="31"/>
      <c r="C631" s="31"/>
    </row>
    <row r="632">
      <c r="B632" s="31"/>
      <c r="C632" s="31"/>
    </row>
    <row r="633">
      <c r="B633" s="31"/>
      <c r="C633" s="31"/>
    </row>
    <row r="634">
      <c r="B634" s="31"/>
      <c r="C634" s="31"/>
    </row>
    <row r="635">
      <c r="B635" s="31"/>
      <c r="C635" s="31"/>
    </row>
    <row r="636">
      <c r="B636" s="31"/>
      <c r="C636" s="31"/>
    </row>
    <row r="637">
      <c r="B637" s="31"/>
      <c r="C637" s="31"/>
    </row>
    <row r="638">
      <c r="B638" s="31"/>
      <c r="C638" s="31"/>
    </row>
    <row r="639">
      <c r="B639" s="31"/>
      <c r="C639" s="31"/>
    </row>
    <row r="640">
      <c r="B640" s="31"/>
      <c r="C640" s="31"/>
    </row>
    <row r="641">
      <c r="B641" s="31"/>
      <c r="C641" s="31"/>
    </row>
    <row r="642">
      <c r="B642" s="31"/>
      <c r="C642" s="31"/>
    </row>
    <row r="643">
      <c r="B643" s="31"/>
      <c r="C643" s="31"/>
    </row>
    <row r="644">
      <c r="B644" s="31"/>
      <c r="C644" s="31"/>
    </row>
    <row r="645">
      <c r="B645" s="31"/>
      <c r="C645" s="31"/>
    </row>
    <row r="646">
      <c r="B646" s="31"/>
      <c r="C646" s="31"/>
    </row>
    <row r="647">
      <c r="B647" s="31"/>
      <c r="C647" s="31"/>
    </row>
    <row r="648">
      <c r="B648" s="31"/>
      <c r="C648" s="31"/>
    </row>
    <row r="649">
      <c r="B649" s="31"/>
      <c r="C649" s="31"/>
    </row>
    <row r="650">
      <c r="B650" s="31"/>
      <c r="C650" s="31"/>
    </row>
    <row r="651">
      <c r="B651" s="31"/>
      <c r="C651" s="31"/>
    </row>
    <row r="652">
      <c r="B652" s="31"/>
      <c r="C652" s="31"/>
    </row>
    <row r="653">
      <c r="B653" s="31"/>
      <c r="C653" s="31"/>
    </row>
    <row r="654">
      <c r="B654" s="31"/>
      <c r="C654" s="31"/>
    </row>
    <row r="655">
      <c r="B655" s="31"/>
      <c r="C655" s="31"/>
    </row>
    <row r="656">
      <c r="B656" s="31"/>
      <c r="C656" s="31"/>
    </row>
    <row r="657">
      <c r="B657" s="31"/>
      <c r="C657" s="31"/>
    </row>
    <row r="658">
      <c r="B658" s="31"/>
      <c r="C658" s="31"/>
    </row>
    <row r="659">
      <c r="B659" s="31"/>
      <c r="C659" s="31"/>
    </row>
    <row r="660">
      <c r="B660" s="31"/>
      <c r="C660" s="31"/>
    </row>
    <row r="661">
      <c r="B661" s="31"/>
      <c r="C661" s="31"/>
    </row>
    <row r="662">
      <c r="B662" s="31"/>
      <c r="C662" s="31"/>
    </row>
    <row r="663">
      <c r="B663" s="31"/>
      <c r="C663" s="31"/>
    </row>
    <row r="664">
      <c r="B664" s="31"/>
      <c r="C664" s="31"/>
    </row>
    <row r="665">
      <c r="B665" s="31"/>
      <c r="C665" s="31"/>
    </row>
    <row r="666">
      <c r="B666" s="31"/>
      <c r="C666" s="31"/>
    </row>
    <row r="667">
      <c r="B667" s="31"/>
      <c r="C667" s="31"/>
    </row>
    <row r="668">
      <c r="B668" s="31"/>
      <c r="C668" s="31"/>
    </row>
    <row r="669">
      <c r="B669" s="31"/>
      <c r="C669" s="31"/>
    </row>
    <row r="670">
      <c r="B670" s="31"/>
      <c r="C670" s="31"/>
    </row>
    <row r="671">
      <c r="B671" s="31"/>
      <c r="C671" s="31"/>
    </row>
    <row r="672">
      <c r="B672" s="31"/>
      <c r="C672" s="31"/>
    </row>
    <row r="673">
      <c r="B673" s="31"/>
      <c r="C673" s="31"/>
    </row>
    <row r="674">
      <c r="B674" s="31"/>
      <c r="C674" s="31"/>
    </row>
    <row r="675">
      <c r="B675" s="31"/>
      <c r="C675" s="31"/>
    </row>
    <row r="676">
      <c r="B676" s="31"/>
      <c r="C676" s="31"/>
    </row>
    <row r="677">
      <c r="B677" s="31"/>
      <c r="C677" s="31"/>
    </row>
    <row r="678">
      <c r="B678" s="31"/>
      <c r="C678" s="31"/>
    </row>
    <row r="679">
      <c r="B679" s="31"/>
      <c r="C679" s="31"/>
    </row>
    <row r="680">
      <c r="B680" s="31"/>
      <c r="C680" s="31"/>
    </row>
    <row r="681">
      <c r="B681" s="31"/>
      <c r="C681" s="31"/>
    </row>
    <row r="682">
      <c r="B682" s="31"/>
      <c r="C682" s="31"/>
    </row>
    <row r="683">
      <c r="B683" s="31"/>
      <c r="C683" s="31"/>
    </row>
    <row r="684">
      <c r="B684" s="31"/>
      <c r="C684" s="31"/>
    </row>
    <row r="685">
      <c r="B685" s="31"/>
      <c r="C685" s="31"/>
    </row>
    <row r="686">
      <c r="B686" s="31"/>
      <c r="C686" s="31"/>
    </row>
    <row r="687">
      <c r="B687" s="31"/>
      <c r="C687" s="31"/>
    </row>
    <row r="688">
      <c r="B688" s="31"/>
      <c r="C688" s="31"/>
    </row>
    <row r="689">
      <c r="B689" s="31"/>
      <c r="C689" s="31"/>
    </row>
    <row r="690">
      <c r="B690" s="31"/>
      <c r="C690" s="31"/>
    </row>
    <row r="691">
      <c r="B691" s="31"/>
      <c r="C691" s="31"/>
    </row>
    <row r="692">
      <c r="B692" s="31"/>
      <c r="C692" s="31"/>
    </row>
    <row r="693">
      <c r="B693" s="31"/>
      <c r="C693" s="31"/>
    </row>
    <row r="694">
      <c r="B694" s="31"/>
      <c r="C694" s="31"/>
    </row>
    <row r="695">
      <c r="B695" s="31"/>
      <c r="C695" s="31"/>
    </row>
    <row r="696">
      <c r="B696" s="31"/>
      <c r="C696" s="31"/>
    </row>
    <row r="697">
      <c r="B697" s="31"/>
      <c r="C697" s="31"/>
    </row>
    <row r="698">
      <c r="B698" s="31"/>
      <c r="C698" s="31"/>
    </row>
    <row r="699">
      <c r="B699" s="31"/>
      <c r="C699" s="31"/>
    </row>
    <row r="700">
      <c r="B700" s="31"/>
      <c r="C700" s="31"/>
    </row>
    <row r="701">
      <c r="B701" s="31"/>
      <c r="C701" s="31"/>
    </row>
    <row r="702">
      <c r="B702" s="31"/>
      <c r="C702" s="31"/>
    </row>
    <row r="703">
      <c r="B703" s="31"/>
      <c r="C703" s="31"/>
    </row>
    <row r="704">
      <c r="B704" s="31"/>
      <c r="C704" s="31"/>
    </row>
    <row r="705">
      <c r="B705" s="31"/>
      <c r="C705" s="31"/>
    </row>
    <row r="706">
      <c r="B706" s="31"/>
      <c r="C706" s="31"/>
    </row>
    <row r="707">
      <c r="B707" s="31"/>
      <c r="C707" s="31"/>
    </row>
    <row r="708">
      <c r="B708" s="31"/>
      <c r="C708" s="31"/>
    </row>
    <row r="709">
      <c r="B709" s="31"/>
      <c r="C709" s="31"/>
    </row>
    <row r="710">
      <c r="B710" s="31"/>
      <c r="C710" s="31"/>
    </row>
    <row r="711">
      <c r="B711" s="31"/>
      <c r="C711" s="31"/>
    </row>
    <row r="712">
      <c r="B712" s="31"/>
      <c r="C712" s="31"/>
    </row>
    <row r="713">
      <c r="B713" s="31"/>
      <c r="C713" s="31"/>
    </row>
    <row r="714">
      <c r="B714" s="31"/>
      <c r="C714" s="31"/>
    </row>
    <row r="715">
      <c r="B715" s="31"/>
      <c r="C715" s="31"/>
    </row>
    <row r="716">
      <c r="B716" s="31"/>
      <c r="C716" s="31"/>
    </row>
    <row r="717">
      <c r="B717" s="31"/>
      <c r="C717" s="31"/>
    </row>
    <row r="718">
      <c r="B718" s="31"/>
      <c r="C718" s="31"/>
    </row>
    <row r="719">
      <c r="B719" s="31"/>
      <c r="C719" s="31"/>
    </row>
    <row r="720">
      <c r="B720" s="31"/>
      <c r="C720" s="31"/>
    </row>
    <row r="721">
      <c r="B721" s="31"/>
      <c r="C721" s="31"/>
    </row>
    <row r="722">
      <c r="B722" s="31"/>
      <c r="C722" s="31"/>
    </row>
    <row r="723">
      <c r="B723" s="31"/>
      <c r="C723" s="31"/>
    </row>
    <row r="724">
      <c r="B724" s="31"/>
      <c r="C724" s="31"/>
    </row>
    <row r="725">
      <c r="B725" s="31"/>
      <c r="C725" s="31"/>
    </row>
    <row r="726">
      <c r="B726" s="31"/>
      <c r="C726" s="31"/>
    </row>
    <row r="727">
      <c r="B727" s="31"/>
      <c r="C727" s="31"/>
    </row>
    <row r="728">
      <c r="B728" s="31"/>
      <c r="C728" s="31"/>
    </row>
    <row r="729">
      <c r="B729" s="31"/>
      <c r="C729" s="31"/>
    </row>
    <row r="730">
      <c r="B730" s="31"/>
      <c r="C730" s="31"/>
    </row>
    <row r="731">
      <c r="B731" s="31"/>
      <c r="C731" s="31"/>
    </row>
    <row r="732">
      <c r="B732" s="31"/>
      <c r="C732" s="31"/>
    </row>
    <row r="733">
      <c r="B733" s="31"/>
      <c r="C733" s="31"/>
    </row>
    <row r="734">
      <c r="B734" s="31"/>
      <c r="C734" s="31"/>
    </row>
    <row r="735">
      <c r="B735" s="31"/>
      <c r="C735" s="31"/>
    </row>
    <row r="736">
      <c r="B736" s="31"/>
      <c r="C736" s="31"/>
    </row>
    <row r="737">
      <c r="B737" s="31"/>
      <c r="C737" s="31"/>
    </row>
    <row r="738">
      <c r="B738" s="31"/>
      <c r="C738" s="31"/>
    </row>
    <row r="739">
      <c r="B739" s="31"/>
      <c r="C739" s="31"/>
    </row>
    <row r="740">
      <c r="B740" s="31"/>
      <c r="C740" s="31"/>
    </row>
    <row r="741">
      <c r="B741" s="31"/>
      <c r="C741" s="31"/>
    </row>
    <row r="742">
      <c r="B742" s="31"/>
      <c r="C742" s="31"/>
    </row>
    <row r="743">
      <c r="B743" s="31"/>
      <c r="C743" s="31"/>
    </row>
    <row r="744">
      <c r="B744" s="31"/>
      <c r="C744" s="31"/>
    </row>
    <row r="745">
      <c r="B745" s="31"/>
      <c r="C745" s="31"/>
    </row>
    <row r="746">
      <c r="B746" s="31"/>
      <c r="C746" s="31"/>
    </row>
    <row r="747">
      <c r="B747" s="31"/>
      <c r="C747" s="31"/>
    </row>
    <row r="748">
      <c r="B748" s="31"/>
      <c r="C748" s="31"/>
    </row>
    <row r="749">
      <c r="B749" s="31"/>
      <c r="C749" s="31"/>
    </row>
    <row r="750">
      <c r="B750" s="31"/>
      <c r="C750" s="31"/>
    </row>
    <row r="751">
      <c r="B751" s="31"/>
      <c r="C751" s="31"/>
    </row>
    <row r="752">
      <c r="B752" s="31"/>
      <c r="C752" s="31"/>
    </row>
    <row r="753">
      <c r="B753" s="31"/>
      <c r="C753" s="31"/>
    </row>
    <row r="754">
      <c r="B754" s="31"/>
      <c r="C754" s="31"/>
    </row>
    <row r="755">
      <c r="B755" s="31"/>
      <c r="C755" s="31"/>
    </row>
    <row r="756">
      <c r="B756" s="31"/>
      <c r="C756" s="31"/>
    </row>
    <row r="757">
      <c r="B757" s="31"/>
      <c r="C757" s="31"/>
    </row>
    <row r="758">
      <c r="B758" s="31"/>
      <c r="C758" s="31"/>
    </row>
    <row r="759">
      <c r="B759" s="31"/>
      <c r="C759" s="31"/>
    </row>
    <row r="760">
      <c r="B760" s="31"/>
      <c r="C760" s="31"/>
    </row>
    <row r="761">
      <c r="B761" s="31"/>
      <c r="C761" s="31"/>
    </row>
    <row r="762">
      <c r="B762" s="31"/>
      <c r="C762" s="31"/>
    </row>
    <row r="763">
      <c r="B763" s="31"/>
      <c r="C763" s="31"/>
    </row>
    <row r="764">
      <c r="B764" s="31"/>
      <c r="C764" s="31"/>
    </row>
    <row r="765">
      <c r="B765" s="31"/>
      <c r="C765" s="31"/>
    </row>
    <row r="766">
      <c r="B766" s="31"/>
      <c r="C766" s="31"/>
    </row>
    <row r="767">
      <c r="B767" s="31"/>
      <c r="C767" s="31"/>
    </row>
    <row r="768">
      <c r="B768" s="31"/>
      <c r="C768" s="31"/>
    </row>
    <row r="769">
      <c r="B769" s="31"/>
      <c r="C769" s="31"/>
    </row>
    <row r="770">
      <c r="B770" s="31"/>
      <c r="C770" s="31"/>
    </row>
    <row r="771">
      <c r="B771" s="31"/>
      <c r="C771" s="31"/>
    </row>
    <row r="772">
      <c r="B772" s="31"/>
      <c r="C772" s="31"/>
    </row>
    <row r="773">
      <c r="B773" s="31"/>
      <c r="C773" s="31"/>
    </row>
    <row r="774">
      <c r="B774" s="31"/>
      <c r="C774" s="31"/>
    </row>
    <row r="775">
      <c r="B775" s="31"/>
      <c r="C775" s="31"/>
    </row>
    <row r="776">
      <c r="B776" s="31"/>
      <c r="C776" s="31"/>
    </row>
    <row r="777">
      <c r="B777" s="31"/>
      <c r="C777" s="31"/>
    </row>
    <row r="778">
      <c r="B778" s="31"/>
      <c r="C778" s="31"/>
    </row>
    <row r="779">
      <c r="B779" s="31"/>
      <c r="C779" s="31"/>
    </row>
    <row r="780">
      <c r="B780" s="31"/>
      <c r="C780" s="31"/>
    </row>
    <row r="781">
      <c r="B781" s="31"/>
      <c r="C781" s="31"/>
    </row>
    <row r="782">
      <c r="B782" s="31"/>
      <c r="C782" s="31"/>
    </row>
    <row r="783">
      <c r="B783" s="31"/>
      <c r="C783" s="31"/>
    </row>
    <row r="784">
      <c r="B784" s="31"/>
      <c r="C784" s="31"/>
    </row>
    <row r="785">
      <c r="B785" s="31"/>
      <c r="C785" s="31"/>
    </row>
    <row r="786">
      <c r="B786" s="31"/>
      <c r="C786" s="31"/>
    </row>
    <row r="787">
      <c r="B787" s="31"/>
      <c r="C787" s="31"/>
    </row>
    <row r="788">
      <c r="B788" s="31"/>
      <c r="C788" s="31"/>
    </row>
    <row r="789">
      <c r="B789" s="31"/>
      <c r="C789" s="31"/>
    </row>
    <row r="790">
      <c r="B790" s="31"/>
      <c r="C790" s="31"/>
    </row>
    <row r="791">
      <c r="B791" s="31"/>
      <c r="C791" s="31"/>
    </row>
    <row r="792">
      <c r="B792" s="31"/>
      <c r="C792" s="31"/>
    </row>
    <row r="793">
      <c r="B793" s="31"/>
      <c r="C793" s="31"/>
    </row>
    <row r="794">
      <c r="B794" s="31"/>
      <c r="C794" s="31"/>
    </row>
    <row r="795">
      <c r="B795" s="31"/>
      <c r="C795" s="31"/>
    </row>
    <row r="796">
      <c r="B796" s="31"/>
      <c r="C796" s="31"/>
    </row>
    <row r="797">
      <c r="B797" s="31"/>
      <c r="C797" s="31"/>
    </row>
    <row r="798">
      <c r="B798" s="31"/>
      <c r="C798" s="31"/>
    </row>
    <row r="799">
      <c r="B799" s="31"/>
      <c r="C799" s="31"/>
    </row>
    <row r="800">
      <c r="B800" s="31"/>
      <c r="C800" s="31"/>
    </row>
    <row r="801">
      <c r="B801" s="31"/>
      <c r="C801" s="31"/>
    </row>
    <row r="802">
      <c r="B802" s="31"/>
      <c r="C802" s="31"/>
    </row>
    <row r="803">
      <c r="B803" s="31"/>
      <c r="C803" s="31"/>
    </row>
    <row r="804">
      <c r="B804" s="31"/>
      <c r="C804" s="31"/>
    </row>
    <row r="805">
      <c r="B805" s="31"/>
      <c r="C805" s="31"/>
    </row>
    <row r="806">
      <c r="B806" s="31"/>
      <c r="C806" s="31"/>
    </row>
    <row r="807">
      <c r="B807" s="31"/>
      <c r="C807" s="31"/>
    </row>
    <row r="808">
      <c r="B808" s="31"/>
      <c r="C808" s="31"/>
    </row>
    <row r="809">
      <c r="B809" s="31"/>
      <c r="C809" s="31"/>
    </row>
    <row r="810">
      <c r="B810" s="31"/>
      <c r="C810" s="31"/>
    </row>
    <row r="811">
      <c r="B811" s="31"/>
      <c r="C811" s="31"/>
    </row>
    <row r="812">
      <c r="B812" s="31"/>
      <c r="C812" s="31"/>
    </row>
    <row r="813">
      <c r="B813" s="31"/>
      <c r="C813" s="31"/>
    </row>
    <row r="814">
      <c r="B814" s="31"/>
      <c r="C814" s="31"/>
    </row>
    <row r="815">
      <c r="B815" s="31"/>
      <c r="C815" s="31"/>
    </row>
    <row r="816">
      <c r="B816" s="31"/>
      <c r="C816" s="31"/>
    </row>
    <row r="817">
      <c r="B817" s="31"/>
      <c r="C817" s="31"/>
    </row>
    <row r="818">
      <c r="B818" s="31"/>
      <c r="C818" s="31"/>
    </row>
    <row r="819">
      <c r="B819" s="31"/>
      <c r="C819" s="31"/>
    </row>
    <row r="820">
      <c r="B820" s="31"/>
      <c r="C820" s="31"/>
    </row>
    <row r="821">
      <c r="B821" s="31"/>
      <c r="C821" s="31"/>
    </row>
    <row r="822">
      <c r="B822" s="31"/>
      <c r="C822" s="31"/>
    </row>
    <row r="823">
      <c r="B823" s="31"/>
      <c r="C823" s="31"/>
    </row>
    <row r="824">
      <c r="B824" s="31"/>
      <c r="C824" s="31"/>
    </row>
    <row r="825">
      <c r="B825" s="31"/>
      <c r="C825" s="31"/>
    </row>
    <row r="826">
      <c r="B826" s="31"/>
      <c r="C826" s="31"/>
    </row>
    <row r="827">
      <c r="B827" s="31"/>
      <c r="C827" s="31"/>
    </row>
    <row r="828">
      <c r="B828" s="31"/>
      <c r="C828" s="31"/>
    </row>
    <row r="829">
      <c r="B829" s="31"/>
      <c r="C829" s="31"/>
    </row>
    <row r="830">
      <c r="B830" s="31"/>
      <c r="C830" s="31"/>
    </row>
    <row r="831">
      <c r="B831" s="31"/>
      <c r="C831" s="31"/>
    </row>
    <row r="832">
      <c r="B832" s="31"/>
      <c r="C832" s="31"/>
    </row>
    <row r="833">
      <c r="B833" s="31"/>
      <c r="C833" s="31"/>
    </row>
    <row r="834">
      <c r="B834" s="31"/>
      <c r="C834" s="31"/>
    </row>
    <row r="835">
      <c r="B835" s="31"/>
      <c r="C835" s="31"/>
    </row>
    <row r="836">
      <c r="B836" s="31"/>
      <c r="C836" s="31"/>
    </row>
    <row r="837">
      <c r="B837" s="31"/>
      <c r="C837" s="31"/>
    </row>
    <row r="838">
      <c r="B838" s="31"/>
      <c r="C838" s="31"/>
    </row>
    <row r="839">
      <c r="B839" s="31"/>
      <c r="C839" s="31"/>
    </row>
    <row r="840">
      <c r="B840" s="31"/>
      <c r="C840" s="31"/>
    </row>
    <row r="841">
      <c r="B841" s="31"/>
      <c r="C841" s="31"/>
    </row>
    <row r="842">
      <c r="B842" s="31"/>
      <c r="C842" s="31"/>
    </row>
    <row r="843">
      <c r="B843" s="31"/>
      <c r="C843" s="31"/>
    </row>
    <row r="844">
      <c r="B844" s="31"/>
      <c r="C844" s="31"/>
    </row>
    <row r="845">
      <c r="B845" s="31"/>
      <c r="C845" s="31"/>
    </row>
    <row r="846">
      <c r="B846" s="31"/>
      <c r="C846" s="31"/>
    </row>
    <row r="847">
      <c r="B847" s="31"/>
      <c r="C847" s="31"/>
    </row>
    <row r="848">
      <c r="B848" s="31"/>
      <c r="C848" s="31"/>
    </row>
    <row r="849">
      <c r="B849" s="31"/>
      <c r="C849" s="31"/>
    </row>
    <row r="850">
      <c r="B850" s="31"/>
      <c r="C850" s="31"/>
    </row>
    <row r="851">
      <c r="B851" s="31"/>
      <c r="C851" s="31"/>
    </row>
    <row r="852">
      <c r="B852" s="31"/>
      <c r="C852" s="31"/>
    </row>
    <row r="853">
      <c r="B853" s="31"/>
      <c r="C853" s="31"/>
    </row>
    <row r="854">
      <c r="B854" s="31"/>
      <c r="C854" s="31"/>
    </row>
    <row r="855">
      <c r="B855" s="31"/>
      <c r="C855" s="31"/>
    </row>
    <row r="856">
      <c r="B856" s="31"/>
      <c r="C856" s="31"/>
    </row>
    <row r="857">
      <c r="B857" s="31"/>
      <c r="C857" s="31"/>
    </row>
    <row r="858">
      <c r="B858" s="31"/>
      <c r="C858" s="31"/>
    </row>
    <row r="859">
      <c r="B859" s="31"/>
      <c r="C859" s="31"/>
    </row>
    <row r="860">
      <c r="B860" s="31"/>
      <c r="C860" s="31"/>
    </row>
    <row r="861">
      <c r="B861" s="31"/>
      <c r="C861" s="31"/>
    </row>
    <row r="862">
      <c r="B862" s="31"/>
      <c r="C862" s="31"/>
    </row>
    <row r="863">
      <c r="B863" s="31"/>
      <c r="C863" s="31"/>
    </row>
    <row r="864">
      <c r="B864" s="31"/>
      <c r="C864" s="31"/>
    </row>
    <row r="865">
      <c r="B865" s="31"/>
      <c r="C865" s="31"/>
    </row>
    <row r="866">
      <c r="B866" s="31"/>
      <c r="C866" s="31"/>
    </row>
    <row r="867">
      <c r="B867" s="31"/>
      <c r="C867" s="31"/>
    </row>
    <row r="868">
      <c r="B868" s="31"/>
      <c r="C868" s="31"/>
    </row>
    <row r="869">
      <c r="B869" s="31"/>
      <c r="C869" s="31"/>
    </row>
    <row r="870">
      <c r="B870" s="31"/>
      <c r="C870" s="31"/>
    </row>
    <row r="871">
      <c r="B871" s="31"/>
      <c r="C871" s="31"/>
    </row>
    <row r="872">
      <c r="B872" s="31"/>
      <c r="C872" s="31"/>
    </row>
    <row r="873">
      <c r="B873" s="31"/>
      <c r="C873" s="31"/>
    </row>
    <row r="874">
      <c r="B874" s="31"/>
      <c r="C874" s="31"/>
    </row>
    <row r="875">
      <c r="B875" s="31"/>
      <c r="C875" s="31"/>
    </row>
    <row r="876">
      <c r="B876" s="31"/>
      <c r="C876" s="31"/>
    </row>
    <row r="877">
      <c r="B877" s="31"/>
      <c r="C877" s="31"/>
    </row>
    <row r="878">
      <c r="B878" s="31"/>
      <c r="C878" s="31"/>
    </row>
    <row r="879">
      <c r="B879" s="31"/>
      <c r="C879" s="31"/>
    </row>
    <row r="880">
      <c r="B880" s="31"/>
      <c r="C880" s="31"/>
    </row>
    <row r="881">
      <c r="B881" s="31"/>
      <c r="C881" s="31"/>
    </row>
    <row r="882">
      <c r="B882" s="31"/>
      <c r="C882" s="31"/>
    </row>
    <row r="883">
      <c r="B883" s="31"/>
      <c r="C883" s="31"/>
    </row>
    <row r="884">
      <c r="B884" s="31"/>
      <c r="C884" s="31"/>
    </row>
    <row r="885">
      <c r="B885" s="31"/>
      <c r="C885" s="31"/>
    </row>
    <row r="886">
      <c r="B886" s="31"/>
      <c r="C886" s="31"/>
    </row>
    <row r="887">
      <c r="B887" s="31"/>
      <c r="C887" s="31"/>
    </row>
    <row r="888">
      <c r="B888" s="31"/>
      <c r="C888" s="31"/>
    </row>
    <row r="889">
      <c r="B889" s="31"/>
      <c r="C889" s="31"/>
    </row>
    <row r="890">
      <c r="B890" s="31"/>
      <c r="C890" s="31"/>
    </row>
    <row r="891">
      <c r="B891" s="31"/>
      <c r="C891" s="31"/>
    </row>
    <row r="892">
      <c r="B892" s="31"/>
      <c r="C892" s="31"/>
    </row>
    <row r="893">
      <c r="B893" s="31"/>
      <c r="C893" s="31"/>
    </row>
    <row r="894">
      <c r="B894" s="31"/>
      <c r="C894" s="31"/>
    </row>
    <row r="895">
      <c r="B895" s="31"/>
      <c r="C895" s="31"/>
    </row>
    <row r="896">
      <c r="B896" s="31"/>
      <c r="C896" s="31"/>
    </row>
    <row r="897">
      <c r="B897" s="31"/>
      <c r="C897" s="31"/>
    </row>
    <row r="898">
      <c r="B898" s="31"/>
      <c r="C898" s="31"/>
    </row>
    <row r="899">
      <c r="B899" s="31"/>
      <c r="C899" s="31"/>
    </row>
    <row r="900">
      <c r="B900" s="31"/>
      <c r="C900" s="31"/>
    </row>
    <row r="901">
      <c r="B901" s="31"/>
      <c r="C901" s="31"/>
    </row>
    <row r="902">
      <c r="B902" s="31"/>
      <c r="C902" s="31"/>
    </row>
    <row r="903">
      <c r="B903" s="31"/>
      <c r="C903" s="31"/>
    </row>
    <row r="904">
      <c r="B904" s="31"/>
      <c r="C904" s="31"/>
    </row>
    <row r="905">
      <c r="B905" s="31"/>
      <c r="C905" s="31"/>
    </row>
    <row r="906">
      <c r="B906" s="31"/>
      <c r="C906" s="31"/>
    </row>
    <row r="907">
      <c r="B907" s="31"/>
      <c r="C907" s="31"/>
    </row>
    <row r="908">
      <c r="B908" s="31"/>
      <c r="C908" s="31"/>
    </row>
    <row r="909">
      <c r="B909" s="31"/>
      <c r="C909" s="31"/>
    </row>
    <row r="910">
      <c r="B910" s="31"/>
      <c r="C910" s="31"/>
    </row>
    <row r="911">
      <c r="B911" s="31"/>
      <c r="C911" s="31"/>
    </row>
    <row r="912">
      <c r="B912" s="31"/>
      <c r="C912" s="31"/>
    </row>
    <row r="913">
      <c r="B913" s="31"/>
      <c r="C913" s="31"/>
    </row>
    <row r="914">
      <c r="B914" s="31"/>
      <c r="C914" s="31"/>
    </row>
    <row r="915">
      <c r="B915" s="31"/>
      <c r="C915" s="31"/>
    </row>
    <row r="916">
      <c r="B916" s="31"/>
      <c r="C916" s="31"/>
    </row>
    <row r="917">
      <c r="B917" s="31"/>
      <c r="C917" s="31"/>
    </row>
    <row r="918">
      <c r="B918" s="31"/>
      <c r="C918" s="31"/>
    </row>
    <row r="919">
      <c r="B919" s="31"/>
      <c r="C919" s="31"/>
    </row>
    <row r="920">
      <c r="B920" s="31"/>
      <c r="C920" s="31"/>
    </row>
    <row r="921">
      <c r="B921" s="31"/>
      <c r="C921" s="31"/>
    </row>
    <row r="922">
      <c r="B922" s="31"/>
      <c r="C922" s="31"/>
    </row>
    <row r="923">
      <c r="B923" s="31"/>
      <c r="C923" s="31"/>
    </row>
    <row r="924">
      <c r="B924" s="31"/>
      <c r="C924" s="31"/>
    </row>
    <row r="925">
      <c r="B925" s="31"/>
      <c r="C925" s="31"/>
    </row>
    <row r="926">
      <c r="B926" s="31"/>
      <c r="C926" s="31"/>
    </row>
    <row r="927">
      <c r="B927" s="31"/>
      <c r="C927" s="31"/>
    </row>
    <row r="928">
      <c r="B928" s="31"/>
      <c r="C928" s="31"/>
    </row>
    <row r="929">
      <c r="B929" s="31"/>
      <c r="C929" s="31"/>
    </row>
    <row r="930">
      <c r="B930" s="31"/>
      <c r="C930" s="31"/>
    </row>
    <row r="931">
      <c r="B931" s="31"/>
      <c r="C931" s="31"/>
    </row>
    <row r="932">
      <c r="B932" s="31"/>
      <c r="C932" s="31"/>
    </row>
    <row r="933">
      <c r="B933" s="31"/>
      <c r="C933" s="31"/>
    </row>
    <row r="934">
      <c r="B934" s="31"/>
      <c r="C934" s="31"/>
    </row>
    <row r="935">
      <c r="B935" s="31"/>
      <c r="C935" s="31"/>
    </row>
    <row r="936">
      <c r="B936" s="31"/>
      <c r="C936" s="31"/>
    </row>
    <row r="937">
      <c r="B937" s="31"/>
      <c r="C937" s="31"/>
    </row>
    <row r="938">
      <c r="B938" s="31"/>
      <c r="C938" s="31"/>
    </row>
    <row r="939">
      <c r="B939" s="31"/>
      <c r="C939" s="31"/>
    </row>
    <row r="940">
      <c r="B940" s="31"/>
      <c r="C940" s="31"/>
    </row>
    <row r="941">
      <c r="B941" s="31"/>
      <c r="C941" s="31"/>
    </row>
    <row r="942">
      <c r="B942" s="31"/>
      <c r="C942" s="31"/>
    </row>
    <row r="943">
      <c r="B943" s="31"/>
      <c r="C943" s="31"/>
    </row>
    <row r="944">
      <c r="B944" s="31"/>
      <c r="C944" s="31"/>
    </row>
    <row r="945">
      <c r="B945" s="31"/>
      <c r="C945" s="31"/>
    </row>
    <row r="946">
      <c r="B946" s="31"/>
      <c r="C946" s="31"/>
    </row>
    <row r="947">
      <c r="B947" s="31"/>
      <c r="C947" s="31"/>
    </row>
    <row r="948">
      <c r="B948" s="31"/>
      <c r="C948" s="31"/>
    </row>
    <row r="949">
      <c r="B949" s="31"/>
      <c r="C949" s="31"/>
    </row>
    <row r="950">
      <c r="B950" s="31"/>
      <c r="C950" s="31"/>
    </row>
    <row r="951">
      <c r="B951" s="31"/>
      <c r="C951" s="31"/>
    </row>
    <row r="952">
      <c r="B952" s="31"/>
      <c r="C952" s="31"/>
    </row>
    <row r="953">
      <c r="B953" s="31"/>
      <c r="C953" s="31"/>
    </row>
    <row r="954">
      <c r="B954" s="31"/>
      <c r="C954" s="31"/>
    </row>
    <row r="955">
      <c r="B955" s="31"/>
      <c r="C955" s="31"/>
    </row>
    <row r="956">
      <c r="B956" s="31"/>
      <c r="C956" s="31"/>
    </row>
    <row r="957">
      <c r="B957" s="31"/>
      <c r="C957" s="31"/>
    </row>
    <row r="958">
      <c r="B958" s="31"/>
      <c r="C958" s="31"/>
    </row>
    <row r="959">
      <c r="B959" s="31"/>
      <c r="C959" s="31"/>
    </row>
    <row r="960">
      <c r="B960" s="31"/>
      <c r="C960" s="31"/>
    </row>
    <row r="961">
      <c r="B961" s="31"/>
      <c r="C961" s="31"/>
    </row>
    <row r="962">
      <c r="B962" s="31"/>
      <c r="C962" s="31"/>
    </row>
    <row r="963">
      <c r="B963" s="31"/>
      <c r="C963" s="31"/>
    </row>
    <row r="964">
      <c r="B964" s="31"/>
      <c r="C964" s="31"/>
    </row>
    <row r="965">
      <c r="B965" s="31"/>
      <c r="C965" s="31"/>
    </row>
    <row r="966">
      <c r="B966" s="31"/>
      <c r="C966" s="31"/>
    </row>
    <row r="967">
      <c r="B967" s="31"/>
      <c r="C967" s="31"/>
    </row>
    <row r="968">
      <c r="B968" s="31"/>
      <c r="C968" s="31"/>
    </row>
    <row r="969">
      <c r="B969" s="31"/>
      <c r="C969" s="31"/>
    </row>
    <row r="970">
      <c r="B970" s="31"/>
      <c r="C970" s="31"/>
    </row>
    <row r="971">
      <c r="B971" s="31"/>
      <c r="C971" s="31"/>
    </row>
    <row r="972">
      <c r="B972" s="31"/>
      <c r="C972" s="31"/>
    </row>
    <row r="973">
      <c r="B973" s="31"/>
      <c r="C973" s="31"/>
    </row>
    <row r="974">
      <c r="B974" s="31"/>
      <c r="C974" s="31"/>
    </row>
    <row r="975">
      <c r="B975" s="31"/>
      <c r="C975" s="31"/>
    </row>
    <row r="976">
      <c r="B976" s="31"/>
      <c r="C976" s="31"/>
    </row>
    <row r="977">
      <c r="B977" s="31"/>
      <c r="C977" s="31"/>
    </row>
    <row r="978">
      <c r="B978" s="31"/>
      <c r="C978" s="31"/>
    </row>
    <row r="979">
      <c r="B979" s="31"/>
      <c r="C979" s="31"/>
    </row>
    <row r="980">
      <c r="B980" s="31"/>
      <c r="C980" s="31"/>
    </row>
    <row r="981">
      <c r="B981" s="31"/>
      <c r="C981" s="31"/>
    </row>
    <row r="982">
      <c r="B982" s="31"/>
      <c r="C982" s="31"/>
    </row>
    <row r="983">
      <c r="B983" s="31"/>
      <c r="C983" s="31"/>
    </row>
    <row r="984">
      <c r="B984" s="31"/>
      <c r="C984" s="31"/>
    </row>
    <row r="985">
      <c r="B985" s="31"/>
      <c r="C985" s="31"/>
    </row>
    <row r="986">
      <c r="B986" s="31"/>
      <c r="C986" s="31"/>
    </row>
    <row r="987">
      <c r="B987" s="31"/>
      <c r="C987" s="31"/>
    </row>
    <row r="988">
      <c r="B988" s="31"/>
      <c r="C988" s="31"/>
    </row>
    <row r="989">
      <c r="B989" s="31"/>
      <c r="C989" s="31"/>
    </row>
  </sheetData>
  <dataValidations>
    <dataValidation type="custom" allowBlank="1" showDropDown="1" sqref="A2:A19 K2:K19">
      <formula1>OR(NOT(ISERROR(DATEVALUE(A2))), AND(ISNUMBER(A2), LEFT(CELL("format", A2))="D"))</formula1>
    </dataValidation>
    <dataValidation type="list" allowBlank="1" sqref="F2:F19 O2:O19">
      <formula1>"Manhã,Tarde,Noite,Madrugada"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3" width="26.75"/>
    <col customWidth="1" min="4" max="4" width="18.63"/>
    <col customWidth="1" min="5" max="5" width="14.5"/>
    <col customWidth="1" min="6" max="6" width="10.5"/>
    <col customWidth="1" min="7" max="7" width="18.5"/>
    <col customWidth="1" min="8" max="8" width="21.75"/>
    <col customWidth="1" min="10" max="10" width="23.75"/>
    <col customWidth="1" min="11" max="12" width="26.75"/>
    <col customWidth="1" min="16" max="16" width="18.75"/>
    <col customWidth="1" min="17" max="17" width="18.5"/>
    <col customWidth="1" min="18" max="18" width="17.25"/>
    <col customWidth="1" min="20" max="20" width="18.5"/>
    <col customWidth="1" min="21" max="21" width="15.13"/>
    <col customWidth="1" min="22" max="22" width="17.5"/>
    <col customWidth="1" min="23" max="23" width="18.63"/>
    <col customWidth="1" min="24" max="24" width="25.63"/>
    <col customWidth="1" min="25" max="25" width="20.88"/>
  </cols>
  <sheetData>
    <row r="1" ht="22.5" customHeight="1">
      <c r="A1" s="1" t="s">
        <v>73</v>
      </c>
      <c r="B1" s="12" t="s">
        <v>74</v>
      </c>
      <c r="C1" s="12" t="s">
        <v>75</v>
      </c>
      <c r="D1" s="13" t="s">
        <v>76</v>
      </c>
      <c r="E1" s="13" t="s">
        <v>78</v>
      </c>
      <c r="F1" s="13" t="s">
        <v>79</v>
      </c>
      <c r="G1" s="13" t="s">
        <v>166</v>
      </c>
      <c r="H1" s="13" t="s">
        <v>81</v>
      </c>
      <c r="J1" s="1" t="s">
        <v>73</v>
      </c>
      <c r="K1" s="12" t="s">
        <v>74</v>
      </c>
      <c r="L1" s="12" t="s">
        <v>75</v>
      </c>
      <c r="M1" s="13" t="s">
        <v>76</v>
      </c>
      <c r="N1" s="13" t="s">
        <v>78</v>
      </c>
      <c r="O1" s="13" t="s">
        <v>79</v>
      </c>
      <c r="P1" s="13" t="s">
        <v>166</v>
      </c>
      <c r="Q1" s="13" t="s">
        <v>81</v>
      </c>
      <c r="T1" s="1" t="s">
        <v>1</v>
      </c>
      <c r="U1" s="1" t="s">
        <v>82</v>
      </c>
      <c r="V1" s="1" t="s">
        <v>83</v>
      </c>
      <c r="W1" s="1" t="s">
        <v>84</v>
      </c>
      <c r="X1" s="1" t="s">
        <v>85</v>
      </c>
      <c r="Y1" s="14" t="s">
        <v>86</v>
      </c>
    </row>
    <row r="2" ht="22.5" customHeight="1">
      <c r="A2" s="15">
        <v>46043.0</v>
      </c>
      <c r="B2" s="3" t="s">
        <v>167</v>
      </c>
      <c r="C2" s="3" t="s">
        <v>168</v>
      </c>
      <c r="D2" s="3">
        <v>1.0</v>
      </c>
      <c r="E2" s="17" t="s">
        <v>89</v>
      </c>
      <c r="F2" s="18" t="s">
        <v>90</v>
      </c>
      <c r="G2" s="19" t="s">
        <v>169</v>
      </c>
      <c r="H2" s="19">
        <v>314.0</v>
      </c>
      <c r="J2" s="15">
        <v>46043.0</v>
      </c>
      <c r="K2" s="3" t="s">
        <v>170</v>
      </c>
      <c r="L2" s="3" t="s">
        <v>171</v>
      </c>
      <c r="M2" s="3">
        <v>1.0</v>
      </c>
      <c r="N2" s="17" t="s">
        <v>94</v>
      </c>
      <c r="O2" s="18" t="s">
        <v>90</v>
      </c>
      <c r="P2" s="19" t="s">
        <v>172</v>
      </c>
      <c r="Q2" s="19">
        <v>146.0</v>
      </c>
      <c r="T2" s="3" t="s">
        <v>33</v>
      </c>
      <c r="U2" s="3">
        <v>13.0</v>
      </c>
      <c r="V2" s="3" t="s">
        <v>173</v>
      </c>
      <c r="W2" s="3">
        <v>31.9</v>
      </c>
      <c r="X2" s="16">
        <f>(B17/B16)*100</f>
        <v>9.642343258</v>
      </c>
      <c r="Y2" s="3" t="s">
        <v>174</v>
      </c>
    </row>
    <row r="3" ht="22.5" customHeight="1">
      <c r="A3" s="15">
        <v>46043.0</v>
      </c>
      <c r="B3" s="3" t="s">
        <v>175</v>
      </c>
      <c r="C3" s="3" t="s">
        <v>176</v>
      </c>
      <c r="D3" s="19">
        <v>2.0</v>
      </c>
      <c r="E3" s="17" t="s">
        <v>89</v>
      </c>
      <c r="F3" s="18" t="s">
        <v>90</v>
      </c>
      <c r="G3" s="19" t="s">
        <v>177</v>
      </c>
      <c r="H3" s="19">
        <v>330.0</v>
      </c>
      <c r="J3" s="15">
        <v>46043.0</v>
      </c>
      <c r="K3" s="3" t="s">
        <v>178</v>
      </c>
      <c r="L3" s="3" t="s">
        <v>179</v>
      </c>
      <c r="M3" s="19">
        <v>2.0</v>
      </c>
      <c r="N3" s="17" t="s">
        <v>94</v>
      </c>
      <c r="O3" s="18" t="s">
        <v>90</v>
      </c>
      <c r="P3" s="19" t="s">
        <v>180</v>
      </c>
      <c r="Q3" s="19">
        <v>78.0</v>
      </c>
      <c r="T3" s="3" t="s">
        <v>103</v>
      </c>
      <c r="U3" s="3">
        <v>13.0</v>
      </c>
      <c r="V3" s="3" t="s">
        <v>181</v>
      </c>
      <c r="W3" s="3">
        <v>40.3</v>
      </c>
      <c r="X3" s="16">
        <f>(K17/K16)*100</f>
        <v>43.34649768</v>
      </c>
      <c r="Y3" s="3" t="s">
        <v>182</v>
      </c>
    </row>
    <row r="4" ht="22.5" customHeight="1">
      <c r="A4" s="15">
        <v>46043.0</v>
      </c>
      <c r="B4" s="3" t="s">
        <v>183</v>
      </c>
      <c r="C4" s="3" t="s">
        <v>184</v>
      </c>
      <c r="D4" s="19">
        <v>3.0</v>
      </c>
      <c r="E4" s="17" t="s">
        <v>89</v>
      </c>
      <c r="F4" s="18" t="s">
        <v>90</v>
      </c>
      <c r="G4" s="19" t="s">
        <v>185</v>
      </c>
      <c r="H4" s="19">
        <v>404.0</v>
      </c>
      <c r="J4" s="15">
        <v>46043.0</v>
      </c>
      <c r="K4" s="3" t="s">
        <v>186</v>
      </c>
      <c r="L4" s="3" t="s">
        <v>187</v>
      </c>
      <c r="M4" s="19">
        <v>3.0</v>
      </c>
      <c r="N4" s="17" t="s">
        <v>94</v>
      </c>
      <c r="O4" s="18" t="s">
        <v>90</v>
      </c>
      <c r="P4" s="19" t="s">
        <v>188</v>
      </c>
      <c r="Q4" s="19">
        <v>85.0</v>
      </c>
    </row>
    <row r="5" ht="22.5" customHeight="1">
      <c r="A5" s="22">
        <v>46043.0</v>
      </c>
      <c r="B5" s="3" t="s">
        <v>189</v>
      </c>
      <c r="C5" s="3" t="s">
        <v>190</v>
      </c>
      <c r="D5" s="19">
        <v>4.0</v>
      </c>
      <c r="E5" s="17" t="s">
        <v>89</v>
      </c>
      <c r="F5" s="18" t="s">
        <v>90</v>
      </c>
      <c r="G5" s="19" t="s">
        <v>191</v>
      </c>
      <c r="H5" s="19">
        <v>342.0</v>
      </c>
      <c r="J5" s="15">
        <v>46043.0</v>
      </c>
      <c r="K5" s="3" t="s">
        <v>192</v>
      </c>
      <c r="L5" s="3" t="s">
        <v>193</v>
      </c>
      <c r="M5" s="19">
        <v>4.0</v>
      </c>
      <c r="N5" s="17" t="s">
        <v>94</v>
      </c>
      <c r="O5" s="18" t="s">
        <v>90</v>
      </c>
      <c r="P5" s="19" t="s">
        <v>194</v>
      </c>
      <c r="Q5" s="19">
        <v>82.0</v>
      </c>
    </row>
    <row r="6" ht="22.5" customHeight="1">
      <c r="A6" s="22">
        <v>46043.0</v>
      </c>
      <c r="B6" s="3" t="s">
        <v>195</v>
      </c>
      <c r="C6" s="3" t="s">
        <v>196</v>
      </c>
      <c r="D6" s="19">
        <v>5.0</v>
      </c>
      <c r="E6" s="17" t="s">
        <v>89</v>
      </c>
      <c r="F6" s="18" t="s">
        <v>90</v>
      </c>
      <c r="G6" s="19" t="s">
        <v>197</v>
      </c>
      <c r="H6" s="19">
        <v>333.0</v>
      </c>
      <c r="J6" s="15">
        <v>46043.0</v>
      </c>
      <c r="K6" s="3" t="s">
        <v>198</v>
      </c>
      <c r="L6" s="3" t="s">
        <v>199</v>
      </c>
      <c r="M6" s="19">
        <v>5.0</v>
      </c>
      <c r="N6" s="17" t="s">
        <v>94</v>
      </c>
      <c r="O6" s="18" t="s">
        <v>90</v>
      </c>
      <c r="P6" s="19" t="s">
        <v>200</v>
      </c>
      <c r="Q6" s="19">
        <v>107.0</v>
      </c>
    </row>
    <row r="7" ht="22.5" customHeight="1">
      <c r="A7" s="22">
        <v>46043.0</v>
      </c>
      <c r="B7" s="3" t="s">
        <v>201</v>
      </c>
      <c r="C7" s="3" t="s">
        <v>202</v>
      </c>
      <c r="D7" s="19">
        <v>6.0</v>
      </c>
      <c r="E7" s="17" t="s">
        <v>89</v>
      </c>
      <c r="F7" s="18" t="s">
        <v>90</v>
      </c>
      <c r="G7" s="19" t="s">
        <v>203</v>
      </c>
      <c r="H7" s="19">
        <v>298.0</v>
      </c>
      <c r="J7" s="15">
        <v>46043.0</v>
      </c>
      <c r="K7" s="3" t="s">
        <v>204</v>
      </c>
      <c r="L7" s="3" t="s">
        <v>205</v>
      </c>
      <c r="M7" s="19">
        <v>6.0</v>
      </c>
      <c r="N7" s="17" t="s">
        <v>94</v>
      </c>
      <c r="O7" s="18" t="s">
        <v>90</v>
      </c>
      <c r="P7" s="19" t="s">
        <v>206</v>
      </c>
      <c r="Q7" s="19">
        <v>86.0</v>
      </c>
    </row>
    <row r="8" ht="22.5" customHeight="1">
      <c r="A8" s="22">
        <v>46043.0</v>
      </c>
      <c r="B8" s="3" t="s">
        <v>207</v>
      </c>
      <c r="C8" s="3" t="s">
        <v>208</v>
      </c>
      <c r="D8" s="19">
        <v>7.0</v>
      </c>
      <c r="E8" s="17" t="s">
        <v>89</v>
      </c>
      <c r="F8" s="18" t="s">
        <v>90</v>
      </c>
      <c r="G8" s="19" t="s">
        <v>209</v>
      </c>
      <c r="H8" s="19">
        <v>315.0</v>
      </c>
      <c r="J8" s="15">
        <v>46043.0</v>
      </c>
      <c r="K8" s="3" t="s">
        <v>210</v>
      </c>
      <c r="L8" s="3" t="s">
        <v>211</v>
      </c>
      <c r="M8" s="19">
        <v>7.0</v>
      </c>
      <c r="N8" s="17" t="s">
        <v>94</v>
      </c>
      <c r="O8" s="18" t="s">
        <v>90</v>
      </c>
      <c r="P8" s="19" t="s">
        <v>212</v>
      </c>
      <c r="Q8" s="19">
        <v>92.0</v>
      </c>
    </row>
    <row r="9" ht="22.5" customHeight="1">
      <c r="A9" s="22">
        <v>46043.0</v>
      </c>
      <c r="B9" s="3" t="s">
        <v>213</v>
      </c>
      <c r="C9" s="3" t="s">
        <v>214</v>
      </c>
      <c r="D9" s="19">
        <v>8.0</v>
      </c>
      <c r="E9" s="17" t="s">
        <v>89</v>
      </c>
      <c r="F9" s="18" t="s">
        <v>90</v>
      </c>
      <c r="G9" s="19" t="s">
        <v>215</v>
      </c>
      <c r="H9" s="19">
        <v>331.0</v>
      </c>
      <c r="J9" s="15">
        <v>46043.0</v>
      </c>
      <c r="K9" s="3" t="s">
        <v>216</v>
      </c>
      <c r="L9" s="3" t="s">
        <v>217</v>
      </c>
      <c r="M9" s="19">
        <v>8.0</v>
      </c>
      <c r="N9" s="17" t="s">
        <v>94</v>
      </c>
      <c r="O9" s="18" t="s">
        <v>90</v>
      </c>
      <c r="P9" s="19" t="s">
        <v>181</v>
      </c>
      <c r="Q9" s="19">
        <v>93.0</v>
      </c>
    </row>
    <row r="10" ht="22.5" customHeight="1">
      <c r="A10" s="22">
        <v>46043.0</v>
      </c>
      <c r="B10" s="3" t="s">
        <v>218</v>
      </c>
      <c r="C10" s="3" t="s">
        <v>219</v>
      </c>
      <c r="D10" s="19">
        <v>9.0</v>
      </c>
      <c r="E10" s="17" t="s">
        <v>89</v>
      </c>
      <c r="F10" s="18" t="s">
        <v>90</v>
      </c>
      <c r="G10" s="19" t="s">
        <v>197</v>
      </c>
      <c r="H10" s="19">
        <v>333.0</v>
      </c>
      <c r="J10" s="15">
        <v>46043.0</v>
      </c>
      <c r="K10" s="3" t="s">
        <v>220</v>
      </c>
      <c r="L10" s="3" t="s">
        <v>221</v>
      </c>
      <c r="M10" s="19">
        <v>9.0</v>
      </c>
      <c r="N10" s="17" t="s">
        <v>94</v>
      </c>
      <c r="O10" s="18" t="s">
        <v>90</v>
      </c>
      <c r="P10" s="19" t="s">
        <v>222</v>
      </c>
      <c r="Q10" s="19">
        <v>131.0</v>
      </c>
    </row>
    <row r="11" ht="22.5" customHeight="1">
      <c r="A11" s="22">
        <v>46043.0</v>
      </c>
      <c r="B11" s="3" t="s">
        <v>223</v>
      </c>
      <c r="C11" s="3" t="s">
        <v>224</v>
      </c>
      <c r="D11" s="19">
        <v>10.0</v>
      </c>
      <c r="E11" s="17" t="s">
        <v>89</v>
      </c>
      <c r="F11" s="18" t="s">
        <v>90</v>
      </c>
      <c r="G11" s="19" t="s">
        <v>225</v>
      </c>
      <c r="H11" s="19">
        <v>295.0</v>
      </c>
      <c r="J11" s="15">
        <v>46038.0</v>
      </c>
      <c r="K11" s="3" t="s">
        <v>226</v>
      </c>
      <c r="L11" s="3" t="s">
        <v>227</v>
      </c>
      <c r="M11" s="19">
        <v>10.0</v>
      </c>
      <c r="N11" s="17" t="s">
        <v>94</v>
      </c>
      <c r="O11" s="18" t="s">
        <v>90</v>
      </c>
      <c r="P11" s="19" t="s">
        <v>228</v>
      </c>
      <c r="Q11" s="19">
        <v>151.0</v>
      </c>
    </row>
    <row r="12" ht="22.5" customHeight="1">
      <c r="A12" s="22">
        <v>46043.0</v>
      </c>
      <c r="B12" s="3" t="s">
        <v>229</v>
      </c>
      <c r="C12" s="3" t="s">
        <v>230</v>
      </c>
      <c r="D12" s="19">
        <v>11.0</v>
      </c>
      <c r="E12" s="17" t="s">
        <v>89</v>
      </c>
      <c r="F12" s="18" t="s">
        <v>90</v>
      </c>
      <c r="G12" s="19" t="s">
        <v>231</v>
      </c>
      <c r="H12" s="19">
        <v>297.0</v>
      </c>
      <c r="J12" s="15">
        <v>46038.0</v>
      </c>
      <c r="K12" s="3" t="s">
        <v>232</v>
      </c>
      <c r="L12" s="3" t="s">
        <v>233</v>
      </c>
      <c r="M12" s="19">
        <v>11.0</v>
      </c>
      <c r="N12" s="17" t="s">
        <v>94</v>
      </c>
      <c r="O12" s="18" t="s">
        <v>90</v>
      </c>
      <c r="P12" s="19" t="s">
        <v>181</v>
      </c>
      <c r="Q12" s="19">
        <v>93.0</v>
      </c>
    </row>
    <row r="13" ht="22.5" customHeight="1">
      <c r="A13" s="15">
        <v>46038.0</v>
      </c>
      <c r="B13" s="3" t="s">
        <v>234</v>
      </c>
      <c r="C13" s="3" t="s">
        <v>235</v>
      </c>
      <c r="D13" s="19">
        <v>12.0</v>
      </c>
      <c r="E13" s="17" t="s">
        <v>89</v>
      </c>
      <c r="F13" s="18" t="s">
        <v>90</v>
      </c>
      <c r="G13" s="19" t="s">
        <v>236</v>
      </c>
      <c r="H13" s="19">
        <v>345.0</v>
      </c>
      <c r="J13" s="15">
        <v>46038.0</v>
      </c>
      <c r="K13" s="3" t="s">
        <v>237</v>
      </c>
      <c r="L13" s="3" t="s">
        <v>238</v>
      </c>
      <c r="M13" s="19">
        <v>12.0</v>
      </c>
      <c r="N13" s="17" t="s">
        <v>94</v>
      </c>
      <c r="O13" s="18" t="s">
        <v>90</v>
      </c>
      <c r="P13" s="19" t="s">
        <v>239</v>
      </c>
      <c r="Q13" s="19">
        <v>83.0</v>
      </c>
    </row>
    <row r="14" ht="22.5" customHeight="1">
      <c r="A14" s="15">
        <v>46038.0</v>
      </c>
      <c r="B14" s="3" t="s">
        <v>240</v>
      </c>
      <c r="C14" s="3" t="s">
        <v>241</v>
      </c>
      <c r="D14" s="19">
        <v>13.0</v>
      </c>
      <c r="E14" s="17" t="s">
        <v>89</v>
      </c>
      <c r="F14" s="18" t="s">
        <v>90</v>
      </c>
      <c r="G14" s="19" t="s">
        <v>242</v>
      </c>
      <c r="H14" s="19">
        <v>381.0</v>
      </c>
      <c r="J14" s="15">
        <v>46038.0</v>
      </c>
      <c r="K14" s="3" t="s">
        <v>243</v>
      </c>
      <c r="L14" s="3" t="s">
        <v>244</v>
      </c>
      <c r="M14" s="19">
        <v>13.0</v>
      </c>
      <c r="N14" s="17" t="s">
        <v>94</v>
      </c>
      <c r="O14" s="18" t="s">
        <v>90</v>
      </c>
      <c r="P14" s="19" t="s">
        <v>245</v>
      </c>
      <c r="Q14" s="19">
        <v>217.0</v>
      </c>
    </row>
    <row r="16">
      <c r="A16" s="32" t="s">
        <v>160</v>
      </c>
      <c r="B16" s="33">
        <f>MEDIAN(Lockin_pipeline[Tempo_Total_seg])</f>
        <v>331</v>
      </c>
      <c r="C16" s="34" t="s">
        <v>246</v>
      </c>
      <c r="J16" s="32" t="s">
        <v>160</v>
      </c>
      <c r="K16" s="33">
        <f>MEDIAN(agnostic_pipeline[Tempo_Total_seg])</f>
        <v>93</v>
      </c>
      <c r="L16" s="34" t="s">
        <v>247</v>
      </c>
    </row>
    <row r="17">
      <c r="A17" s="36" t="s">
        <v>163</v>
      </c>
      <c r="B17" s="37">
        <f>STDEVA(Lockin_pipeline[Tempo_Total_seg])</f>
        <v>31.91615619</v>
      </c>
      <c r="C17" s="38" t="s">
        <v>248</v>
      </c>
      <c r="J17" s="36" t="s">
        <v>163</v>
      </c>
      <c r="K17" s="37">
        <f>STDEVA(agnostic_pipeline[Tempo_Total_seg])</f>
        <v>40.31224284</v>
      </c>
      <c r="L17" s="38" t="s">
        <v>249</v>
      </c>
    </row>
  </sheetData>
  <dataValidations>
    <dataValidation type="custom" allowBlank="1" showDropDown="1" sqref="A2:A14 J2:J14">
      <formula1>OR(NOT(ISERROR(DATEVALUE(A2))), AND(ISNUMBER(A2), LEFT(CELL("format", A2))="D"))</formula1>
    </dataValidation>
    <dataValidation type="list" allowBlank="1" sqref="E2:E14 N2:N14">
      <formula1>"Manhã,Tarde,Noite,Madrugada"</formula1>
    </dataValidation>
  </dataValidations>
  <drawing r:id="rId1"/>
  <tableParts count="3">
    <tablePart r:id="rId5"/>
    <tablePart r:id="rId6"/>
    <tablePart r:id="rId7"/>
  </tableParts>
</worksheet>
</file>